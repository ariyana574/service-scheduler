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riyanAthwal\Downloads\"/>
    </mc:Choice>
  </mc:AlternateContent>
  <xr:revisionPtr revIDLastSave="0" documentId="13_ncr:1_{ADBE498C-74E7-45D8-B8B7-5D03B25747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0" i="1" l="1"/>
  <c r="AI16" i="1" a="1"/>
  <c r="AI16" i="1" s="1"/>
  <c r="U41" i="1"/>
  <c r="V41" i="1" s="1"/>
  <c r="X41" i="1" s="1"/>
  <c r="U40" i="1"/>
  <c r="V40" i="1" s="1"/>
  <c r="X40" i="1" s="1"/>
  <c r="U39" i="1"/>
  <c r="V39" i="1" s="1"/>
  <c r="X39" i="1" s="1"/>
  <c r="U38" i="1"/>
  <c r="V38" i="1" s="1"/>
  <c r="X38" i="1" s="1"/>
  <c r="U37" i="1"/>
  <c r="V37" i="1" s="1"/>
  <c r="X37" i="1" s="1"/>
  <c r="U36" i="1"/>
  <c r="V36" i="1" s="1"/>
  <c r="X36" i="1" s="1"/>
  <c r="U35" i="1"/>
  <c r="V35" i="1" s="1"/>
  <c r="U34" i="1"/>
  <c r="V34" i="1" s="1"/>
  <c r="X34" i="1" s="1"/>
  <c r="U33" i="1"/>
  <c r="V33" i="1" s="1"/>
  <c r="X33" i="1" s="1"/>
  <c r="U32" i="1"/>
  <c r="V32" i="1" s="1"/>
  <c r="X32" i="1" s="1"/>
  <c r="U31" i="1"/>
  <c r="V31" i="1" s="1"/>
  <c r="X31" i="1" s="1"/>
  <c r="U30" i="1"/>
  <c r="U29" i="1"/>
  <c r="V29" i="1" s="1"/>
  <c r="X29" i="1" s="1"/>
  <c r="U28" i="1"/>
  <c r="V28" i="1" s="1"/>
  <c r="X28" i="1" s="1"/>
  <c r="W42" i="1"/>
  <c r="T42" i="1"/>
  <c r="V21" i="1"/>
  <c r="Y30" i="1" s="1"/>
  <c r="W21" i="1"/>
  <c r="Y31" i="1" s="1"/>
  <c r="X21" i="1"/>
  <c r="Y32" i="1" s="1"/>
  <c r="Y21" i="1"/>
  <c r="Y33" i="1" s="1"/>
  <c r="Z21" i="1"/>
  <c r="Y34" i="1" s="1"/>
  <c r="AA21" i="1"/>
  <c r="Y35" i="1" s="1"/>
  <c r="AB21" i="1"/>
  <c r="Y36" i="1" s="1"/>
  <c r="AC21" i="1"/>
  <c r="Y37" i="1" s="1"/>
  <c r="AD21" i="1"/>
  <c r="Y38" i="1" s="1"/>
  <c r="AE21" i="1"/>
  <c r="Y39" i="1" s="1"/>
  <c r="AF21" i="1"/>
  <c r="Y40" i="1" s="1"/>
  <c r="AG21" i="1"/>
  <c r="Y41" i="1" s="1"/>
  <c r="AH21" i="1"/>
  <c r="T21" i="1"/>
  <c r="Y28" i="1" s="1"/>
  <c r="U21" i="1"/>
  <c r="Y29" i="1" s="1"/>
  <c r="E110" i="1"/>
  <c r="F110" i="1"/>
  <c r="G110" i="1"/>
  <c r="H110" i="1"/>
  <c r="J110" i="1"/>
  <c r="K110" i="1"/>
  <c r="L110" i="1"/>
  <c r="M110" i="1"/>
  <c r="N110" i="1"/>
  <c r="O110" i="1"/>
  <c r="P110" i="1"/>
  <c r="D110" i="1"/>
  <c r="AI15" i="1"/>
  <c r="AI13" i="1"/>
  <c r="AI11" i="1"/>
  <c r="AI19" i="1"/>
  <c r="AI14" i="1"/>
  <c r="AI10" i="1"/>
  <c r="AI18" i="1"/>
  <c r="AI17" i="1"/>
  <c r="AI12" i="1"/>
  <c r="AI9" i="1"/>
  <c r="AI20" i="1"/>
  <c r="U42" i="1" l="1"/>
  <c r="V30" i="1"/>
  <c r="X30" i="1" s="1"/>
  <c r="Z30" i="1" s="1"/>
  <c r="Z34" i="1"/>
  <c r="Y42" i="1"/>
  <c r="Z28" i="1"/>
  <c r="Z38" i="1"/>
  <c r="Z41" i="1"/>
  <c r="Z33" i="1"/>
  <c r="Z40" i="1"/>
  <c r="Z32" i="1"/>
  <c r="Z36" i="1"/>
  <c r="Z39" i="1"/>
  <c r="Z31" i="1"/>
  <c r="Z37" i="1"/>
  <c r="Z29" i="1"/>
  <c r="X35" i="1"/>
  <c r="V42" i="1" l="1"/>
  <c r="AD28" i="1" s="1"/>
  <c r="Z35" i="1"/>
  <c r="Z42" i="1" s="1"/>
  <c r="X4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<sst xmlns="http://schemas.openxmlformats.org/spreadsheetml/2006/main" count="934" uniqueCount="302">
  <si>
    <t>Postcode</t>
  </si>
  <si>
    <t>Area Name</t>
  </si>
  <si>
    <t>Region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</si>
  <si>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</si>
  <si>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</si>
  <si>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</si>
  <si>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</si>
  <si>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</si>
  <si>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</si>
  <si>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</si>
  <si>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</si>
  <si>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</si>
  <si>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</si>
  <si>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</si>
  <si>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</si>
  <si>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Per year</t>
  </si>
  <si>
    <t>AB</t>
  </si>
  <si>
    <t>Aberdeen</t>
  </si>
  <si>
    <t>Scotland</t>
  </si>
  <si>
    <t xml:space="preserve">       ✓</t>
  </si>
  <si>
    <t>AL</t>
  </si>
  <si>
    <t>St Albans</t>
  </si>
  <si>
    <t>East of England</t>
  </si>
  <si>
    <t>B</t>
  </si>
  <si>
    <t>Birmingham</t>
  </si>
  <si>
    <t>West Midlands</t>
  </si>
  <si>
    <t>BA</t>
  </si>
  <si>
    <t>Bath</t>
  </si>
  <si>
    <t>South West</t>
  </si>
  <si>
    <t>BB</t>
  </si>
  <si>
    <t>Blackburn</t>
  </si>
  <si>
    <t>North West</t>
  </si>
  <si>
    <t>BD</t>
  </si>
  <si>
    <t>Bradford</t>
  </si>
  <si>
    <t>Yorkshire and the Humber</t>
  </si>
  <si>
    <t>Column Labels</t>
  </si>
  <si>
    <t>BH</t>
  </si>
  <si>
    <t>Bournemouth</t>
  </si>
  <si>
    <t>Values</t>
  </si>
  <si>
    <t>East Midlands</t>
  </si>
  <si>
    <t>Guernsey</t>
  </si>
  <si>
    <t>Isle of Man</t>
  </si>
  <si>
    <t>Jersey</t>
  </si>
  <si>
    <t>London</t>
  </si>
  <si>
    <t>North East</t>
  </si>
  <si>
    <t>South East</t>
  </si>
  <si>
    <t>Wales</t>
  </si>
  <si>
    <t>Grand Total</t>
  </si>
  <si>
    <t>Total Eng Required</t>
  </si>
  <si>
    <t>BL</t>
  </si>
  <si>
    <t>Bolton</t>
  </si>
  <si>
    <t>Sum of Jan</t>
  </si>
  <si>
    <t>BN</t>
  </si>
  <si>
    <t>Brighton</t>
  </si>
  <si>
    <t>Sum of Feb</t>
  </si>
  <si>
    <t>BR</t>
  </si>
  <si>
    <t>Bromley</t>
  </si>
  <si>
    <t>Sum of Mar</t>
  </si>
  <si>
    <t>BS</t>
  </si>
  <si>
    <t>Bristol</t>
  </si>
  <si>
    <t>Sum of Apr</t>
  </si>
  <si>
    <t>CA</t>
  </si>
  <si>
    <t>Carlisle</t>
  </si>
  <si>
    <t>Sum of May</t>
  </si>
  <si>
    <t>CB</t>
  </si>
  <si>
    <t>Cambridge</t>
  </si>
  <si>
    <t>Sum of Jun</t>
  </si>
  <si>
    <t>CF</t>
  </si>
  <si>
    <t>Cardiff</t>
  </si>
  <si>
    <t>Sum of Jul</t>
  </si>
  <si>
    <t>CH</t>
  </si>
  <si>
    <t>Chester</t>
  </si>
  <si>
    <t>Sum of Aug</t>
  </si>
  <si>
    <t>CM</t>
  </si>
  <si>
    <t>Chelmsford</t>
  </si>
  <si>
    <t>Sum of Sep</t>
  </si>
  <si>
    <t>CO</t>
  </si>
  <si>
    <t>Colchester</t>
  </si>
  <si>
    <t>Sum of Oct</t>
  </si>
  <si>
    <t>CR</t>
  </si>
  <si>
    <t>Croydon</t>
  </si>
  <si>
    <t>Sum of Nov</t>
  </si>
  <si>
    <t>CT</t>
  </si>
  <si>
    <t>Canterbury</t>
  </si>
  <si>
    <t>Sum of Dec</t>
  </si>
  <si>
    <t>CV</t>
  </si>
  <si>
    <t>Coventry</t>
  </si>
  <si>
    <t>Total</t>
  </si>
  <si>
    <t>CW</t>
  </si>
  <si>
    <t>Crewe</t>
  </si>
  <si>
    <t>DA</t>
  </si>
  <si>
    <t>Dartford</t>
  </si>
  <si>
    <t>DD</t>
  </si>
  <si>
    <t>Dundee</t>
  </si>
  <si>
    <t>DE</t>
  </si>
  <si>
    <t>Derby</t>
  </si>
  <si>
    <t>FIGURES USED</t>
  </si>
  <si>
    <t>DG</t>
  </si>
  <si>
    <t>Dumfries</t>
  </si>
  <si>
    <t>TOTAL</t>
  </si>
  <si>
    <t>jobs per day</t>
  </si>
  <si>
    <t>days worked per month</t>
  </si>
  <si>
    <t>DH</t>
  </si>
  <si>
    <t>Durham</t>
  </si>
  <si>
    <t>Primary Engineers</t>
  </si>
  <si>
    <t xml:space="preserve">Jobs per day </t>
  </si>
  <si>
    <t>Total Jobs per day</t>
  </si>
  <si>
    <t>Days worked in a year</t>
  </si>
  <si>
    <t>Total in a year</t>
  </si>
  <si>
    <t>Actual</t>
  </si>
  <si>
    <t xml:space="preserve">Difference </t>
  </si>
  <si>
    <t>No of jobs Per Month</t>
  </si>
  <si>
    <t>DL</t>
  </si>
  <si>
    <t>Darlington</t>
  </si>
  <si>
    <t>DN</t>
  </si>
  <si>
    <t>Doncaster</t>
  </si>
  <si>
    <t>DT</t>
  </si>
  <si>
    <t>Dorchester</t>
  </si>
  <si>
    <t>DY</t>
  </si>
  <si>
    <t>Dudley</t>
  </si>
  <si>
    <t>E</t>
  </si>
  <si>
    <t>East London</t>
  </si>
  <si>
    <t>EH</t>
  </si>
  <si>
    <t>Edinburgh</t>
  </si>
  <si>
    <t>EN</t>
  </si>
  <si>
    <t>Enfield</t>
  </si>
  <si>
    <t>EX</t>
  </si>
  <si>
    <t>Exeter</t>
  </si>
  <si>
    <t>FK</t>
  </si>
  <si>
    <t>Falkirk</t>
  </si>
  <si>
    <t>FY</t>
  </si>
  <si>
    <t>Blackpool</t>
  </si>
  <si>
    <t>G</t>
  </si>
  <si>
    <t>Glasgow</t>
  </si>
  <si>
    <t>GB</t>
  </si>
  <si>
    <t>GL</t>
  </si>
  <si>
    <t>Gloucester</t>
  </si>
  <si>
    <t>GU</t>
  </si>
  <si>
    <t>Guildford</t>
  </si>
  <si>
    <t>GY</t>
  </si>
  <si>
    <t>HA</t>
  </si>
  <si>
    <t>Harrow</t>
  </si>
  <si>
    <t>HD</t>
  </si>
  <si>
    <t>Huddersfield</t>
  </si>
  <si>
    <t>HG</t>
  </si>
  <si>
    <t>Harrogate</t>
  </si>
  <si>
    <t>HP</t>
  </si>
  <si>
    <t>Hemel Hempstead</t>
  </si>
  <si>
    <t>HR</t>
  </si>
  <si>
    <t>Hereford</t>
  </si>
  <si>
    <t>HU</t>
  </si>
  <si>
    <t>Hull</t>
  </si>
  <si>
    <t>HX</t>
  </si>
  <si>
    <t>Halifax</t>
  </si>
  <si>
    <t>IG</t>
  </si>
  <si>
    <t>Ilford</t>
  </si>
  <si>
    <t>IM</t>
  </si>
  <si>
    <t>IP</t>
  </si>
  <si>
    <t>Ipswich</t>
  </si>
  <si>
    <t>IV</t>
  </si>
  <si>
    <t>Inverness</t>
  </si>
  <si>
    <t>J</t>
  </si>
  <si>
    <t>JE</t>
  </si>
  <si>
    <t>KA</t>
  </si>
  <si>
    <t>Kilmarnock</t>
  </si>
  <si>
    <t>KT</t>
  </si>
  <si>
    <t>Kingston upon Thames</t>
  </si>
  <si>
    <t>KW</t>
  </si>
  <si>
    <t>Kirkwell</t>
  </si>
  <si>
    <t>KY</t>
  </si>
  <si>
    <t>Kirkcaldy</t>
  </si>
  <si>
    <t>L</t>
  </si>
  <si>
    <t>Liverpool</t>
  </si>
  <si>
    <t>LA</t>
  </si>
  <si>
    <t>Lancaster</t>
  </si>
  <si>
    <t>LD</t>
  </si>
  <si>
    <t>Llandrindod Wells</t>
  </si>
  <si>
    <t>LE</t>
  </si>
  <si>
    <t>Leicester</t>
  </si>
  <si>
    <t>LL</t>
  </si>
  <si>
    <t>Llandudno</t>
  </si>
  <si>
    <t>LN</t>
  </si>
  <si>
    <t>Lincoln</t>
  </si>
  <si>
    <t>LS</t>
  </si>
  <si>
    <t>Leeds</t>
  </si>
  <si>
    <t>LU</t>
  </si>
  <si>
    <t>Luton</t>
  </si>
  <si>
    <t>M</t>
  </si>
  <si>
    <t>Manchester</t>
  </si>
  <si>
    <t>ME</t>
  </si>
  <si>
    <t>Medway</t>
  </si>
  <si>
    <t>MK</t>
  </si>
  <si>
    <t>Milton Keynes</t>
  </si>
  <si>
    <t>ML</t>
  </si>
  <si>
    <t>Motherwell</t>
  </si>
  <si>
    <t>N</t>
  </si>
  <si>
    <t>North London</t>
  </si>
  <si>
    <t>NE</t>
  </si>
  <si>
    <t>Newcastle upon Tyne</t>
  </si>
  <si>
    <t>NG</t>
  </si>
  <si>
    <t>Nottingham</t>
  </si>
  <si>
    <t>NN</t>
  </si>
  <si>
    <t>Northampton</t>
  </si>
  <si>
    <t>NP</t>
  </si>
  <si>
    <t>Newport</t>
  </si>
  <si>
    <t>NR</t>
  </si>
  <si>
    <t>Norwich</t>
  </si>
  <si>
    <t>NW</t>
  </si>
  <si>
    <t>North West London</t>
  </si>
  <si>
    <t>OL</t>
  </si>
  <si>
    <t>Oldham</t>
  </si>
  <si>
    <t>OX</t>
  </si>
  <si>
    <t>Oxford</t>
  </si>
  <si>
    <t>PA</t>
  </si>
  <si>
    <t>Paisley</t>
  </si>
  <si>
    <t>PE</t>
  </si>
  <si>
    <t>Peterborough</t>
  </si>
  <si>
    <t>PH</t>
  </si>
  <si>
    <t>Perth</t>
  </si>
  <si>
    <t>PL</t>
  </si>
  <si>
    <t>Plymouth</t>
  </si>
  <si>
    <t>PO</t>
  </si>
  <si>
    <t>Portsmouth</t>
  </si>
  <si>
    <t>PR</t>
  </si>
  <si>
    <t>Preston</t>
  </si>
  <si>
    <t>R</t>
  </si>
  <si>
    <t>Rotherham</t>
  </si>
  <si>
    <t>RG</t>
  </si>
  <si>
    <t>Reading</t>
  </si>
  <si>
    <t>RH</t>
  </si>
  <si>
    <t>Redhill</t>
  </si>
  <si>
    <t>RM</t>
  </si>
  <si>
    <t>Romford</t>
  </si>
  <si>
    <t>S</t>
  </si>
  <si>
    <t>Sheffield</t>
  </si>
  <si>
    <t>SA</t>
  </si>
  <si>
    <t>Swansea</t>
  </si>
  <si>
    <t>SE</t>
  </si>
  <si>
    <t>South East London</t>
  </si>
  <si>
    <t>SG</t>
  </si>
  <si>
    <t>Stevenage</t>
  </si>
  <si>
    <t>SK</t>
  </si>
  <si>
    <t>Stockport</t>
  </si>
  <si>
    <t>SL</t>
  </si>
  <si>
    <t>Slough</t>
  </si>
  <si>
    <t>SM</t>
  </si>
  <si>
    <t>Sutton</t>
  </si>
  <si>
    <t>SN</t>
  </si>
  <si>
    <t>Swindon</t>
  </si>
  <si>
    <t>SO</t>
  </si>
  <si>
    <t>Southampton</t>
  </si>
  <si>
    <t>SP</t>
  </si>
  <si>
    <t>Salisbury</t>
  </si>
  <si>
    <t>SR</t>
  </si>
  <si>
    <t>Sunderland</t>
  </si>
  <si>
    <t>SS</t>
  </si>
  <si>
    <t>Southend-on-Sea</t>
  </si>
  <si>
    <t>ST</t>
  </si>
  <si>
    <t>Stoke-on-Trent</t>
  </si>
  <si>
    <t>SW</t>
  </si>
  <si>
    <t>South West London</t>
  </si>
  <si>
    <t>SY</t>
  </si>
  <si>
    <t>Shrewsbury</t>
  </si>
  <si>
    <t>TA</t>
  </si>
  <si>
    <t>Taunton</t>
  </si>
  <si>
    <t>TD</t>
  </si>
  <si>
    <t>Galashiels</t>
  </si>
  <si>
    <t>TF</t>
  </si>
  <si>
    <t>Telford</t>
  </si>
  <si>
    <t>TN</t>
  </si>
  <si>
    <t>Tonbridge</t>
  </si>
  <si>
    <t>TQ</t>
  </si>
  <si>
    <t>Torquay</t>
  </si>
  <si>
    <t>TR</t>
  </si>
  <si>
    <t>Truro</t>
  </si>
  <si>
    <t>TS</t>
  </si>
  <si>
    <t>Cleveland</t>
  </si>
  <si>
    <t>TW</t>
  </si>
  <si>
    <t>Twickenham</t>
  </si>
  <si>
    <t>UB</t>
  </si>
  <si>
    <t>Uxbridge</t>
  </si>
  <si>
    <t>W</t>
  </si>
  <si>
    <t>West London</t>
  </si>
  <si>
    <t>WA</t>
  </si>
  <si>
    <t>Warrington</t>
  </si>
  <si>
    <t>WD</t>
  </si>
  <si>
    <t>Watford</t>
  </si>
  <si>
    <t>WF</t>
  </si>
  <si>
    <t>Wakefield</t>
  </si>
  <si>
    <t>WN</t>
  </si>
  <si>
    <t>Wigan</t>
  </si>
  <si>
    <t>WR</t>
  </si>
  <si>
    <t>Worcester</t>
  </si>
  <si>
    <t>WS</t>
  </si>
  <si>
    <t>Walsall</t>
  </si>
  <si>
    <t>WV</t>
  </si>
  <si>
    <t>Wolverhampton</t>
  </si>
  <si>
    <t>YO</t>
  </si>
  <si>
    <t>York</t>
  </si>
  <si>
    <t>ZE</t>
  </si>
  <si>
    <t>Shetland</t>
  </si>
  <si>
    <t>ISLE'S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</si>
</sst>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rgb="FF90EE90"/>
        <bgColor rgb="FF90EE9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10" applyNumberFormat="0" applyAlignment="0" applyProtection="0"/>
    <xf numFmtId="0" fontId="3" fillId="5" borderId="0" applyNumberFormat="0" applyBorder="0" applyAlignment="0" applyProtection="0"/>
    <xf numFmtId="0" fontId="8" fillId="6" borderId="0" applyNumberFormat="0" applyBorder="0" applyAlignment="0" applyProtection="0"/>
  </cellStyleXfs>
  <cellXfs count="31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0" fontId="0" fillId="0" borderId="3" xfId="0" applyBorder="1"/>
    <xf numFmtId="2" fontId="0" fillId="0" borderId="0" xfId="0" applyNumberForma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2" xfId="1" applyBorder="1" applyAlignment="1">
      <alignment horizontal="center" vertical="top"/>
    </xf>
    <xf numFmtId="0" fontId="3" fillId="5" borderId="2" xfId="4" applyBorder="1" applyAlignment="1">
      <alignment horizontal="center" vertical="top"/>
    </xf>
    <xf numFmtId="0" fontId="5" fillId="3" borderId="2" xfId="2" applyBorder="1" applyAlignment="1">
      <alignment horizontal="center" vertical="top"/>
    </xf>
    <xf numFmtId="0" fontId="6" fillId="4" borderId="10" xfId="3" applyAlignment="1">
      <alignment horizontal="center" vertical="top"/>
    </xf>
    <xf numFmtId="0" fontId="8" fillId="6" borderId="2" xfId="5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9" fillId="2" borderId="2" xfId="1" applyFont="1" applyBorder="1" applyAlignment="1">
      <alignment horizontal="center" vertical="top"/>
    </xf>
    <xf numFmtId="0" fontId="1" fillId="5" borderId="2" xfId="4" applyFont="1" applyBorder="1" applyAlignment="1">
      <alignment horizontal="center" vertical="top"/>
    </xf>
    <xf numFmtId="0" fontId="10" fillId="3" borderId="2" xfId="2" applyFont="1" applyBorder="1" applyAlignment="1">
      <alignment horizontal="center" vertical="top"/>
    </xf>
    <xf numFmtId="0" fontId="11" fillId="4" borderId="10" xfId="3" applyFont="1" applyAlignment="1">
      <alignment horizontal="center" vertical="top"/>
    </xf>
    <xf numFmtId="0" fontId="7" fillId="6" borderId="2" xfId="5" applyFont="1" applyBorder="1" applyAlignment="1">
      <alignment horizontal="center" vertical="top"/>
    </xf>
    <xf numFmtId="0" fontId="0" fillId="7" borderId="1" xfId="0" applyFill="1" applyBorder="1"/>
    <xf numFmtId="0" fontId="1" fillId="7" borderId="1" xfId="0" applyFont="1" applyFill="1" applyBorder="1"/>
    <xf numFmtId="0" fontId="12" fillId="8" borderId="1" xfId="0" applyFont="1" applyFill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6">
    <cellStyle name="20% - Accent4" xfId="4" builtinId="42"/>
    <cellStyle name="Accent5" xfId="5" builtinId="45"/>
    <cellStyle name="Bad" xfId="1" builtinId="27"/>
    <cellStyle name="Input" xfId="3" builtinId="20"/>
    <cellStyle name="Neutral" xfId="2" builtinId="28"/>
    <cellStyle name="Normal" xfId="0" builtinId="0"/>
  </cellStyles>
  <dxfs count="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59.559120370373" createdVersion="8" refreshedVersion="8" minRefreshableVersion="3" recordCount="122" xr:uid="{02E824AF-B655-B54D-B931-D66167254405}">
  <cacheSource type="worksheet">
    <worksheetSource name="Table1"/>
  </cacheSource>
  <cacheFields count="16">
    <cacheField name="Postcode" numFmtId="0">
      <sharedItems/>
    </cacheField>
    <cacheField name="Area Name" numFmtId="0">
      <sharedItems/>
    </cacheField>
    <cacheField name="Region" numFmtId="0">
      <sharedItems count="14">
        <s v="East Midlands"/>
        <s v="East of England"/>
        <s v="Guernsey"/>
        <s v="Isle of Man"/>
        <s v="Jersey"/>
        <s v="London"/>
        <s v="North East"/>
        <s v="North West"/>
        <s v="Scotland"/>
        <s v="South East"/>
        <s v="South West"/>
        <s v="Wales"/>
        <s v="West Midlands"/>
        <s v="Yorkshire and the Humber"/>
      </sharedItems>
    </cacheField>
    <cacheField name="Jan" numFmtId="0">
      <sharedItems containsString="0" containsBlank="1" containsNumber="1" containsInteger="1" minValue="4" maxValue="32"/>
    </cacheField>
    <cacheField name="Feb" numFmtId="0">
      <sharedItems containsString="0" containsBlank="1" containsNumber="1" containsInteger="1" minValue="2" maxValue="24"/>
    </cacheField>
    <cacheField name="Mar" numFmtId="0">
      <sharedItems containsString="0" containsBlank="1" containsNumber="1" containsInteger="1" minValue="2" maxValue="32"/>
    </cacheField>
    <cacheField name="Apr" numFmtId="0">
      <sharedItems containsString="0" containsBlank="1" containsNumber="1" containsInteger="1" minValue="2" maxValue="22"/>
    </cacheField>
    <cacheField name="May" numFmtId="0">
      <sharedItems containsString="0" containsBlank="1" containsNumber="1" containsInteger="1" minValue="2" maxValue="32"/>
    </cacheField>
    <cacheField name="Jun" numFmtId="0">
      <sharedItems containsString="0" containsBlank="1" containsNumber="1" containsInteger="1" minValue="2" maxValue="16"/>
    </cacheField>
    <cacheField name="Jul" numFmtId="0">
      <sharedItems containsString="0" containsBlank="1" containsNumber="1" containsInteger="1" minValue="2" maxValue="32"/>
    </cacheField>
    <cacheField name="Aug" numFmtId="0">
      <sharedItems containsString="0" containsBlank="1" containsNumber="1" containsInteger="1" minValue="2" maxValue="24"/>
    </cacheField>
    <cacheField name="Sep" numFmtId="0">
      <sharedItems containsString="0" containsBlank="1" containsNumber="1" containsInteger="1" minValue="2" maxValue="30"/>
    </cacheField>
    <cacheField name="Oct" numFmtId="0">
      <sharedItems containsString="0" containsBlank="1" containsNumber="1" containsInteger="1" minValue="4" maxValue="26"/>
    </cacheField>
    <cacheField name="Nov" numFmtId="0">
      <sharedItems containsString="0" containsBlank="1" containsNumber="1" containsInteger="1" minValue="2" maxValue="30"/>
    </cacheField>
    <cacheField name="Dec" numFmtId="0">
      <sharedItems containsString="0" containsBlank="1" containsNumber="1" containsInteger="1" minValue="2" maxValue="14"/>
    </cacheField>
    <cacheField name="Per year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s v="DE"/>
    <s v="Derby"/>
    <x v="0"/>
    <n v="16"/>
    <m/>
    <m/>
    <m/>
    <m/>
    <m/>
    <n v="16"/>
    <m/>
    <m/>
    <n v="16"/>
    <m/>
    <m/>
    <n v="3"/>
  </r>
  <r>
    <s v="LE"/>
    <s v="Leicester"/>
    <x v="0"/>
    <n v="22"/>
    <m/>
    <n v="22"/>
    <m/>
    <n v="20"/>
    <m/>
    <n v="20"/>
    <m/>
    <n v="20"/>
    <m/>
    <n v="20"/>
    <m/>
    <n v="5"/>
  </r>
  <r>
    <s v="LN"/>
    <s v="Lincoln"/>
    <x v="0"/>
    <m/>
    <n v="6"/>
    <m/>
    <m/>
    <m/>
    <n v="6"/>
    <m/>
    <n v="6"/>
    <m/>
    <m/>
    <m/>
    <n v="4"/>
    <n v="3"/>
  </r>
  <r>
    <s v="NG"/>
    <s v="Nottingham"/>
    <x v="0"/>
    <n v="22"/>
    <m/>
    <n v="20"/>
    <m/>
    <n v="20"/>
    <m/>
    <n v="20"/>
    <m/>
    <n v="20"/>
    <m/>
    <n v="20"/>
    <m/>
    <n v="6"/>
  </r>
  <r>
    <s v="NN"/>
    <s v="Northampton"/>
    <x v="0"/>
    <n v="16"/>
    <m/>
    <n v="16"/>
    <m/>
    <n v="16"/>
    <m/>
    <n v="16"/>
    <m/>
    <n v="16"/>
    <m/>
    <n v="16"/>
    <m/>
    <n v="6"/>
  </r>
  <r>
    <s v="AL"/>
    <s v="St Albans"/>
    <x v="1"/>
    <n v="10"/>
    <m/>
    <m/>
    <m/>
    <n v="10"/>
    <m/>
    <n v="10"/>
    <m/>
    <m/>
    <m/>
    <n v="10"/>
    <m/>
    <n v="4"/>
  </r>
  <r>
    <s v="CB"/>
    <s v="Cambridge"/>
    <x v="1"/>
    <n v="16"/>
    <m/>
    <m/>
    <m/>
    <m/>
    <m/>
    <n v="14"/>
    <m/>
    <m/>
    <m/>
    <n v="14"/>
    <m/>
    <n v="3"/>
  </r>
  <r>
    <s v="CM"/>
    <s v="Chelmsford"/>
    <x v="1"/>
    <n v="28"/>
    <m/>
    <m/>
    <m/>
    <m/>
    <m/>
    <n v="28"/>
    <m/>
    <m/>
    <n v="26"/>
    <m/>
    <m/>
    <n v="3"/>
  </r>
  <r>
    <s v="CO"/>
    <s v="Colchester"/>
    <x v="1"/>
    <n v="8"/>
    <m/>
    <m/>
    <n v="6"/>
    <m/>
    <m/>
    <n v="6"/>
    <m/>
    <m/>
    <m/>
    <m/>
    <m/>
    <n v="3"/>
  </r>
  <r>
    <s v="IP"/>
    <s v="Ipswich"/>
    <x v="1"/>
    <n v="10"/>
    <m/>
    <n v="10"/>
    <m/>
    <n v="10"/>
    <m/>
    <n v="10"/>
    <m/>
    <n v="10"/>
    <m/>
    <n v="10"/>
    <m/>
    <n v="6"/>
  </r>
  <r>
    <s v="LU"/>
    <s v="Luton"/>
    <x v="1"/>
    <n v="10"/>
    <m/>
    <n v="8"/>
    <m/>
    <m/>
    <m/>
    <n v="8"/>
    <m/>
    <n v="8"/>
    <m/>
    <m/>
    <m/>
    <n v="3"/>
  </r>
  <r>
    <s v="NR"/>
    <s v="Norwich"/>
    <x v="1"/>
    <n v="14"/>
    <m/>
    <m/>
    <m/>
    <n v="14"/>
    <m/>
    <n v="14"/>
    <m/>
    <m/>
    <m/>
    <n v="14"/>
    <m/>
    <n v="4"/>
  </r>
  <r>
    <s v="PE"/>
    <s v="Peterborough"/>
    <x v="1"/>
    <n v="22"/>
    <m/>
    <n v="22"/>
    <m/>
    <n v="22"/>
    <m/>
    <n v="20"/>
    <m/>
    <n v="20"/>
    <m/>
    <n v="20"/>
    <m/>
    <n v="6"/>
  </r>
  <r>
    <s v="SG"/>
    <s v="Stevenage"/>
    <x v="1"/>
    <m/>
    <m/>
    <m/>
    <n v="20"/>
    <m/>
    <m/>
    <m/>
    <m/>
    <m/>
    <n v="18"/>
    <m/>
    <m/>
    <n v="2"/>
  </r>
  <r>
    <s v="SS"/>
    <s v="Southend-on-Sea"/>
    <x v="1"/>
    <m/>
    <n v="16"/>
    <m/>
    <m/>
    <m/>
    <n v="16"/>
    <m/>
    <n v="14"/>
    <m/>
    <m/>
    <m/>
    <n v="14"/>
    <n v="4"/>
  </r>
  <r>
    <s v="WD"/>
    <s v="Watford"/>
    <x v="1"/>
    <m/>
    <m/>
    <m/>
    <n v="4"/>
    <m/>
    <m/>
    <m/>
    <m/>
    <m/>
    <n v="4"/>
    <m/>
    <m/>
    <n v="2"/>
  </r>
  <r>
    <s v="GB"/>
    <s v="Guernsey"/>
    <x v="2"/>
    <m/>
    <m/>
    <n v="2"/>
    <m/>
    <m/>
    <m/>
    <m/>
    <m/>
    <m/>
    <m/>
    <m/>
    <m/>
    <n v="2"/>
  </r>
  <r>
    <s v="GY"/>
    <s v="Guernsey"/>
    <x v="2"/>
    <m/>
    <m/>
    <n v="6"/>
    <m/>
    <m/>
    <n v="4"/>
    <m/>
    <m/>
    <n v="4"/>
    <m/>
    <m/>
    <n v="4"/>
    <n v="2"/>
  </r>
  <r>
    <s v="IM"/>
    <s v="Isle of Man"/>
    <x v="3"/>
    <m/>
    <m/>
    <m/>
    <n v="18"/>
    <m/>
    <m/>
    <m/>
    <m/>
    <m/>
    <n v="18"/>
    <m/>
    <m/>
    <n v="2"/>
  </r>
  <r>
    <s v="J"/>
    <s v="Jersey"/>
    <x v="4"/>
    <m/>
    <m/>
    <m/>
    <m/>
    <m/>
    <m/>
    <m/>
    <m/>
    <m/>
    <m/>
    <m/>
    <m/>
    <n v="2"/>
  </r>
  <r>
    <s v="JE"/>
    <s v="Jersey"/>
    <x v="4"/>
    <m/>
    <m/>
    <m/>
    <n v="14"/>
    <m/>
    <m/>
    <m/>
    <m/>
    <m/>
    <n v="14"/>
    <m/>
    <m/>
    <n v="2"/>
  </r>
  <r>
    <s v="BR"/>
    <s v="Bromley"/>
    <x v="5"/>
    <m/>
    <m/>
    <m/>
    <m/>
    <m/>
    <n v="4"/>
    <m/>
    <m/>
    <m/>
    <m/>
    <m/>
    <n v="4"/>
    <n v="2"/>
  </r>
  <r>
    <s v="CR"/>
    <s v="Croydon"/>
    <x v="5"/>
    <n v="16"/>
    <m/>
    <m/>
    <n v="14"/>
    <m/>
    <m/>
    <n v="14"/>
    <m/>
    <m/>
    <m/>
    <m/>
    <m/>
    <n v="3"/>
  </r>
  <r>
    <s v="E"/>
    <s v="East London"/>
    <x v="5"/>
    <m/>
    <n v="4"/>
    <m/>
    <m/>
    <n v="4"/>
    <m/>
    <m/>
    <n v="4"/>
    <m/>
    <m/>
    <n v="2"/>
    <m/>
    <n v="3"/>
  </r>
  <r>
    <s v="EN"/>
    <s v="Enfield"/>
    <x v="5"/>
    <n v="6"/>
    <m/>
    <n v="6"/>
    <m/>
    <m/>
    <m/>
    <n v="6"/>
    <m/>
    <n v="6"/>
    <m/>
    <m/>
    <m/>
    <n v="3"/>
  </r>
  <r>
    <s v="HA"/>
    <s v="Harrow"/>
    <x v="5"/>
    <n v="6"/>
    <m/>
    <m/>
    <m/>
    <n v="6"/>
    <m/>
    <n v="6"/>
    <m/>
    <m/>
    <m/>
    <n v="4"/>
    <m/>
    <n v="3"/>
  </r>
  <r>
    <s v="IG"/>
    <s v="Ilford"/>
    <x v="5"/>
    <m/>
    <m/>
    <m/>
    <m/>
    <m/>
    <n v="8"/>
    <m/>
    <m/>
    <m/>
    <m/>
    <m/>
    <n v="6"/>
    <n v="2"/>
  </r>
  <r>
    <s v="N"/>
    <s v="North London"/>
    <x v="5"/>
    <n v="4"/>
    <m/>
    <m/>
    <m/>
    <n v="4"/>
    <m/>
    <n v="4"/>
    <m/>
    <m/>
    <m/>
    <n v="2"/>
    <m/>
    <n v="4"/>
  </r>
  <r>
    <s v="NW"/>
    <s v="North West London"/>
    <x v="5"/>
    <m/>
    <n v="18"/>
    <m/>
    <m/>
    <m/>
    <m/>
    <m/>
    <n v="16"/>
    <m/>
    <m/>
    <m/>
    <m/>
    <n v="2"/>
  </r>
  <r>
    <s v="RM"/>
    <s v="Romford"/>
    <x v="5"/>
    <n v="16"/>
    <m/>
    <m/>
    <m/>
    <n v="16"/>
    <m/>
    <n v="16"/>
    <m/>
    <m/>
    <m/>
    <n v="14"/>
    <m/>
    <n v="4"/>
  </r>
  <r>
    <s v="SE"/>
    <s v="South East London"/>
    <x v="5"/>
    <n v="8"/>
    <m/>
    <n v="8"/>
    <m/>
    <n v="8"/>
    <m/>
    <n v="8"/>
    <m/>
    <n v="8"/>
    <m/>
    <n v="8"/>
    <m/>
    <n v="5"/>
  </r>
  <r>
    <s v="SM"/>
    <s v="Sutton"/>
    <x v="5"/>
    <m/>
    <n v="4"/>
    <m/>
    <m/>
    <m/>
    <m/>
    <m/>
    <n v="2"/>
    <m/>
    <m/>
    <m/>
    <m/>
    <n v="2"/>
  </r>
  <r>
    <s v="SW"/>
    <s v="South West London"/>
    <x v="5"/>
    <m/>
    <m/>
    <n v="6"/>
    <m/>
    <m/>
    <n v="6"/>
    <m/>
    <m/>
    <n v="4"/>
    <m/>
    <m/>
    <n v="4"/>
    <n v="3"/>
  </r>
  <r>
    <s v="TW"/>
    <s v="Twickenham"/>
    <x v="5"/>
    <n v="10"/>
    <m/>
    <m/>
    <n v="10"/>
    <m/>
    <m/>
    <n v="10"/>
    <m/>
    <m/>
    <n v="8"/>
    <m/>
    <m/>
    <n v="3"/>
  </r>
  <r>
    <s v="UB"/>
    <s v="Uxbridge"/>
    <x v="5"/>
    <m/>
    <m/>
    <n v="14"/>
    <m/>
    <n v="14"/>
    <m/>
    <m/>
    <m/>
    <n v="14"/>
    <m/>
    <n v="14"/>
    <m/>
    <n v="4"/>
  </r>
  <r>
    <s v="W"/>
    <s v="West London"/>
    <x v="5"/>
    <m/>
    <n v="8"/>
    <m/>
    <n v="8"/>
    <m/>
    <m/>
    <m/>
    <n v="6"/>
    <m/>
    <n v="6"/>
    <m/>
    <m/>
    <n v="3"/>
  </r>
  <r>
    <s v="DH"/>
    <s v="Durham"/>
    <x v="6"/>
    <n v="10"/>
    <m/>
    <m/>
    <m/>
    <m/>
    <m/>
    <n v="8"/>
    <m/>
    <m/>
    <n v="8"/>
    <m/>
    <m/>
    <n v="3"/>
  </r>
  <r>
    <s v="DL"/>
    <s v="Darlington"/>
    <x v="6"/>
    <m/>
    <n v="10"/>
    <m/>
    <m/>
    <n v="10"/>
    <m/>
    <m/>
    <n v="10"/>
    <m/>
    <m/>
    <m/>
    <m/>
    <n v="3"/>
  </r>
  <r>
    <s v="NE"/>
    <s v="Newcastle upon Tyne"/>
    <x v="6"/>
    <n v="20"/>
    <m/>
    <n v="18"/>
    <m/>
    <m/>
    <m/>
    <n v="18"/>
    <m/>
    <n v="18"/>
    <m/>
    <m/>
    <m/>
    <n v="3"/>
  </r>
  <r>
    <s v="SR"/>
    <s v="Sunderland"/>
    <x v="6"/>
    <m/>
    <n v="4"/>
    <m/>
    <m/>
    <m/>
    <n v="4"/>
    <m/>
    <n v="2"/>
    <m/>
    <m/>
    <m/>
    <n v="2"/>
    <n v="3"/>
  </r>
  <r>
    <s v="TS"/>
    <s v="Cleveland"/>
    <x v="6"/>
    <n v="10"/>
    <m/>
    <m/>
    <m/>
    <n v="10"/>
    <m/>
    <n v="10"/>
    <m/>
    <m/>
    <m/>
    <n v="10"/>
    <m/>
    <n v="3"/>
  </r>
  <r>
    <s v="BB"/>
    <s v="Blackburn"/>
    <x v="7"/>
    <n v="6"/>
    <m/>
    <m/>
    <n v="6"/>
    <m/>
    <m/>
    <n v="4"/>
    <m/>
    <m/>
    <n v="4"/>
    <m/>
    <m/>
    <n v="4"/>
  </r>
  <r>
    <s v="BL"/>
    <s v="Bolton"/>
    <x v="7"/>
    <n v="4"/>
    <m/>
    <n v="4"/>
    <m/>
    <m/>
    <m/>
    <n v="4"/>
    <m/>
    <m/>
    <m/>
    <m/>
    <m/>
    <n v="3"/>
  </r>
  <r>
    <s v="CA"/>
    <s v="Carlisle"/>
    <x v="7"/>
    <m/>
    <n v="8"/>
    <m/>
    <m/>
    <m/>
    <m/>
    <m/>
    <n v="8"/>
    <m/>
    <m/>
    <n v="8"/>
    <m/>
    <n v="3"/>
  </r>
  <r>
    <s v="CH"/>
    <s v="Chester"/>
    <x v="7"/>
    <m/>
    <m/>
    <n v="14"/>
    <m/>
    <m/>
    <m/>
    <n v="14"/>
    <m/>
    <n v="14"/>
    <m/>
    <m/>
    <m/>
    <n v="3"/>
  </r>
  <r>
    <s v="CW"/>
    <s v="Crewe"/>
    <x v="7"/>
    <n v="10"/>
    <m/>
    <m/>
    <n v="10"/>
    <m/>
    <m/>
    <n v="8"/>
    <m/>
    <m/>
    <m/>
    <m/>
    <m/>
    <n v="3"/>
  </r>
  <r>
    <s v="FY"/>
    <s v="Blackpool"/>
    <x v="7"/>
    <n v="4"/>
    <m/>
    <m/>
    <n v="4"/>
    <m/>
    <m/>
    <n v="4"/>
    <m/>
    <m/>
    <n v="4"/>
    <m/>
    <m/>
    <n v="3"/>
  </r>
  <r>
    <s v="L"/>
    <s v="Liverpool"/>
    <x v="7"/>
    <n v="8"/>
    <m/>
    <m/>
    <m/>
    <n v="6"/>
    <m/>
    <n v="6"/>
    <m/>
    <m/>
    <m/>
    <n v="6"/>
    <m/>
    <n v="3"/>
  </r>
  <r>
    <s v="LA"/>
    <s v="Lancaster"/>
    <x v="7"/>
    <n v="8"/>
    <m/>
    <m/>
    <n v="8"/>
    <m/>
    <m/>
    <n v="8"/>
    <m/>
    <m/>
    <n v="6"/>
    <m/>
    <m/>
    <n v="3"/>
  </r>
  <r>
    <s v="M"/>
    <s v="Manchester"/>
    <x v="7"/>
    <n v="14"/>
    <m/>
    <n v="14"/>
    <m/>
    <n v="14"/>
    <m/>
    <n v="12"/>
    <m/>
    <n v="12"/>
    <m/>
    <n v="12"/>
    <m/>
    <n v="5"/>
  </r>
  <r>
    <s v="OL"/>
    <s v="Oldham"/>
    <x v="7"/>
    <n v="8"/>
    <m/>
    <m/>
    <m/>
    <n v="6"/>
    <m/>
    <n v="6"/>
    <m/>
    <m/>
    <m/>
    <n v="6"/>
    <m/>
    <n v="3"/>
  </r>
  <r>
    <s v="PR"/>
    <s v="Preston"/>
    <x v="7"/>
    <n v="16"/>
    <m/>
    <m/>
    <n v="16"/>
    <m/>
    <m/>
    <n v="16"/>
    <m/>
    <m/>
    <n v="16"/>
    <m/>
    <m/>
    <n v="4"/>
  </r>
  <r>
    <s v="SK"/>
    <s v="Stockport"/>
    <x v="7"/>
    <m/>
    <m/>
    <m/>
    <m/>
    <n v="6"/>
    <m/>
    <m/>
    <m/>
    <m/>
    <m/>
    <n v="4"/>
    <m/>
    <n v="2"/>
  </r>
  <r>
    <s v="WA"/>
    <s v="Warrington"/>
    <x v="7"/>
    <n v="10"/>
    <m/>
    <n v="10"/>
    <m/>
    <m/>
    <m/>
    <n v="10"/>
    <m/>
    <n v="10"/>
    <m/>
    <m/>
    <m/>
    <n v="3"/>
  </r>
  <r>
    <s v="WN"/>
    <s v="Wigan"/>
    <x v="7"/>
    <n v="8"/>
    <m/>
    <m/>
    <n v="6"/>
    <m/>
    <m/>
    <n v="6"/>
    <m/>
    <m/>
    <n v="6"/>
    <m/>
    <m/>
    <n v="3"/>
  </r>
  <r>
    <s v="AB"/>
    <s v="Aberdeen"/>
    <x v="8"/>
    <n v="6"/>
    <m/>
    <m/>
    <n v="6"/>
    <m/>
    <m/>
    <n v="4"/>
    <m/>
    <m/>
    <n v="4"/>
    <m/>
    <m/>
    <n v="4"/>
  </r>
  <r>
    <s v="DD"/>
    <s v="Dundee"/>
    <x v="8"/>
    <n v="4"/>
    <m/>
    <m/>
    <m/>
    <n v="2"/>
    <m/>
    <n v="2"/>
    <m/>
    <m/>
    <m/>
    <m/>
    <m/>
    <n v="3"/>
  </r>
  <r>
    <s v="DG"/>
    <s v="Dumfries"/>
    <x v="8"/>
    <m/>
    <m/>
    <m/>
    <m/>
    <n v="2"/>
    <m/>
    <m/>
    <m/>
    <m/>
    <m/>
    <m/>
    <m/>
    <n v="2"/>
  </r>
  <r>
    <s v="EH"/>
    <s v="Edinburgh"/>
    <x v="8"/>
    <n v="8"/>
    <m/>
    <m/>
    <n v="8"/>
    <m/>
    <m/>
    <n v="6"/>
    <m/>
    <m/>
    <n v="6"/>
    <m/>
    <m/>
    <n v="3"/>
  </r>
  <r>
    <s v="FK"/>
    <s v="Falkirk"/>
    <x v="8"/>
    <m/>
    <n v="8"/>
    <m/>
    <m/>
    <m/>
    <n v="6"/>
    <m/>
    <n v="6"/>
    <m/>
    <m/>
    <m/>
    <n v="6"/>
    <n v="3"/>
  </r>
  <r>
    <s v="G"/>
    <s v="Glasgow"/>
    <x v="8"/>
    <m/>
    <m/>
    <m/>
    <n v="6"/>
    <m/>
    <n v="6"/>
    <m/>
    <m/>
    <m/>
    <n v="6"/>
    <m/>
    <n v="4"/>
    <n v="3"/>
  </r>
  <r>
    <s v="IV"/>
    <s v="Inverness"/>
    <x v="8"/>
    <m/>
    <n v="2"/>
    <m/>
    <m/>
    <n v="2"/>
    <m/>
    <m/>
    <n v="2"/>
    <m/>
    <m/>
    <m/>
    <m/>
    <n v="3"/>
  </r>
  <r>
    <s v="KA"/>
    <s v="Kilmarnock"/>
    <x v="8"/>
    <m/>
    <n v="6"/>
    <m/>
    <m/>
    <n v="4"/>
    <m/>
    <m/>
    <n v="4"/>
    <m/>
    <m/>
    <n v="4"/>
    <m/>
    <n v="3"/>
  </r>
  <r>
    <s v="KY"/>
    <s v="Kirkcaldy"/>
    <x v="8"/>
    <n v="4"/>
    <m/>
    <m/>
    <m/>
    <n v="2"/>
    <m/>
    <n v="2"/>
    <m/>
    <m/>
    <m/>
    <n v="2"/>
    <m/>
    <n v="3"/>
  </r>
  <r>
    <s v="ML"/>
    <s v="Motherwell"/>
    <x v="8"/>
    <n v="8"/>
    <m/>
    <m/>
    <n v="6"/>
    <m/>
    <m/>
    <n v="6"/>
    <m/>
    <m/>
    <n v="6"/>
    <m/>
    <m/>
    <n v="3"/>
  </r>
  <r>
    <s v="PA"/>
    <s v="Paisley"/>
    <x v="8"/>
    <m/>
    <n v="2"/>
    <m/>
    <m/>
    <m/>
    <n v="2"/>
    <m/>
    <n v="2"/>
    <m/>
    <m/>
    <m/>
    <n v="2"/>
    <n v="3"/>
  </r>
  <r>
    <s v="PH"/>
    <s v="Perth"/>
    <x v="8"/>
    <m/>
    <m/>
    <m/>
    <n v="2"/>
    <m/>
    <m/>
    <m/>
    <m/>
    <m/>
    <m/>
    <m/>
    <m/>
    <n v="2"/>
  </r>
  <r>
    <s v="TD"/>
    <s v="Galashiels"/>
    <x v="8"/>
    <m/>
    <m/>
    <m/>
    <n v="2"/>
    <m/>
    <m/>
    <m/>
    <m/>
    <m/>
    <m/>
    <m/>
    <m/>
    <n v="2"/>
  </r>
  <r>
    <s v="ZE"/>
    <s v="Shetland"/>
    <x v="8"/>
    <m/>
    <m/>
    <n v="12"/>
    <m/>
    <m/>
    <m/>
    <m/>
    <m/>
    <m/>
    <m/>
    <m/>
    <m/>
    <n v="1"/>
  </r>
  <r>
    <s v="BN"/>
    <s v="Brighton"/>
    <x v="9"/>
    <m/>
    <n v="14"/>
    <m/>
    <m/>
    <n v="14"/>
    <m/>
    <m/>
    <n v="14"/>
    <m/>
    <m/>
    <n v="12"/>
    <m/>
    <n v="4"/>
  </r>
  <r>
    <s v="CT"/>
    <s v="Canterbury"/>
    <x v="9"/>
    <n v="12"/>
    <m/>
    <m/>
    <m/>
    <m/>
    <m/>
    <n v="10"/>
    <m/>
    <m/>
    <n v="10"/>
    <m/>
    <m/>
    <n v="3"/>
  </r>
  <r>
    <s v="DA"/>
    <s v="Dartford"/>
    <x v="9"/>
    <n v="22"/>
    <m/>
    <m/>
    <m/>
    <m/>
    <m/>
    <n v="22"/>
    <m/>
    <m/>
    <n v="22"/>
    <m/>
    <m/>
    <n v="3"/>
  </r>
  <r>
    <s v="GU"/>
    <s v="Guildford"/>
    <x v="9"/>
    <m/>
    <n v="10"/>
    <m/>
    <m/>
    <n v="8"/>
    <m/>
    <m/>
    <n v="8"/>
    <m/>
    <m/>
    <n v="8"/>
    <m/>
    <n v="3"/>
  </r>
  <r>
    <s v="HP"/>
    <s v="Hemel Hempstead"/>
    <x v="9"/>
    <m/>
    <n v="10"/>
    <m/>
    <m/>
    <m/>
    <n v="10"/>
    <m/>
    <n v="8"/>
    <m/>
    <m/>
    <m/>
    <n v="8"/>
    <n v="3"/>
  </r>
  <r>
    <s v="KT"/>
    <s v="Kingston upon Thames"/>
    <x v="9"/>
    <n v="8"/>
    <m/>
    <m/>
    <m/>
    <n v="8"/>
    <m/>
    <n v="8"/>
    <m/>
    <m/>
    <m/>
    <n v="8"/>
    <m/>
    <n v="3"/>
  </r>
  <r>
    <s v="ME"/>
    <s v="Medway"/>
    <x v="9"/>
    <n v="22"/>
    <m/>
    <m/>
    <n v="20"/>
    <m/>
    <m/>
    <n v="20"/>
    <m/>
    <m/>
    <n v="20"/>
    <m/>
    <m/>
    <n v="4"/>
  </r>
  <r>
    <s v="MK"/>
    <s v="Milton Keynes"/>
    <x v="9"/>
    <m/>
    <n v="22"/>
    <m/>
    <n v="22"/>
    <m/>
    <m/>
    <m/>
    <n v="22"/>
    <m/>
    <n v="20"/>
    <m/>
    <m/>
    <n v="4"/>
  </r>
  <r>
    <s v="OX"/>
    <s v="Oxford"/>
    <x v="9"/>
    <n v="16"/>
    <m/>
    <n v="16"/>
    <m/>
    <m/>
    <m/>
    <n v="16"/>
    <m/>
    <n v="16"/>
    <m/>
    <m/>
    <m/>
    <n v="4"/>
  </r>
  <r>
    <s v="PO"/>
    <s v="Portsmouth"/>
    <x v="9"/>
    <m/>
    <m/>
    <m/>
    <n v="12"/>
    <m/>
    <n v="12"/>
    <m/>
    <m/>
    <m/>
    <n v="10"/>
    <m/>
    <n v="10"/>
    <n v="4"/>
  </r>
  <r>
    <s v="RG"/>
    <s v="Reading"/>
    <x v="9"/>
    <n v="12"/>
    <m/>
    <m/>
    <m/>
    <n v="12"/>
    <m/>
    <n v="12"/>
    <m/>
    <m/>
    <m/>
    <n v="10"/>
    <m/>
    <n v="3"/>
  </r>
  <r>
    <s v="RH"/>
    <s v="Redhill"/>
    <x v="9"/>
    <m/>
    <n v="24"/>
    <m/>
    <m/>
    <n v="24"/>
    <m/>
    <m/>
    <n v="24"/>
    <m/>
    <m/>
    <n v="22"/>
    <m/>
    <n v="4"/>
  </r>
  <r>
    <s v="SL"/>
    <s v="Slough"/>
    <x v="9"/>
    <n v="10"/>
    <m/>
    <m/>
    <n v="8"/>
    <m/>
    <m/>
    <n v="8"/>
    <m/>
    <m/>
    <n v="8"/>
    <m/>
    <m/>
    <n v="3"/>
  </r>
  <r>
    <s v="SO"/>
    <s v="Southampton"/>
    <x v="9"/>
    <m/>
    <n v="12"/>
    <m/>
    <m/>
    <n v="12"/>
    <m/>
    <m/>
    <n v="12"/>
    <m/>
    <m/>
    <n v="10"/>
    <m/>
    <n v="3"/>
  </r>
  <r>
    <s v="TN"/>
    <s v="Tonbridge"/>
    <x v="9"/>
    <m/>
    <n v="14"/>
    <m/>
    <n v="14"/>
    <m/>
    <n v="14"/>
    <m/>
    <n v="14"/>
    <m/>
    <n v="14"/>
    <m/>
    <n v="12"/>
    <n v="5"/>
  </r>
  <r>
    <s v="BA"/>
    <s v="Bath"/>
    <x v="10"/>
    <m/>
    <n v="4"/>
    <m/>
    <m/>
    <n v="4"/>
    <m/>
    <m/>
    <n v="2"/>
    <m/>
    <m/>
    <n v="2"/>
    <m/>
    <n v="4"/>
  </r>
  <r>
    <s v="BH"/>
    <s v="Bournemouth"/>
    <x v="10"/>
    <m/>
    <m/>
    <n v="8"/>
    <m/>
    <m/>
    <m/>
    <n v="6"/>
    <m/>
    <n v="6"/>
    <m/>
    <m/>
    <m/>
    <n v="3"/>
  </r>
  <r>
    <s v="BS"/>
    <s v="Bristol"/>
    <x v="10"/>
    <m/>
    <n v="12"/>
    <m/>
    <m/>
    <n v="10"/>
    <m/>
    <m/>
    <n v="10"/>
    <m/>
    <m/>
    <m/>
    <m/>
    <n v="3"/>
  </r>
  <r>
    <s v="DT"/>
    <s v="Dorchester"/>
    <x v="10"/>
    <n v="6"/>
    <m/>
    <m/>
    <m/>
    <m/>
    <m/>
    <n v="4"/>
    <m/>
    <m/>
    <m/>
    <n v="4"/>
    <m/>
    <n v="3"/>
  </r>
  <r>
    <s v="EX"/>
    <s v="Exeter"/>
    <x v="10"/>
    <n v="14"/>
    <m/>
    <m/>
    <n v="14"/>
    <m/>
    <m/>
    <n v="14"/>
    <m/>
    <m/>
    <n v="12"/>
    <m/>
    <m/>
    <n v="4"/>
  </r>
  <r>
    <s v="GL"/>
    <s v="Gloucester"/>
    <x v="10"/>
    <n v="10"/>
    <m/>
    <n v="10"/>
    <m/>
    <m/>
    <m/>
    <n v="10"/>
    <m/>
    <n v="8"/>
    <m/>
    <m/>
    <m/>
    <n v="3"/>
  </r>
  <r>
    <s v="PL"/>
    <s v="Plymouth"/>
    <x v="10"/>
    <m/>
    <n v="10"/>
    <m/>
    <m/>
    <m/>
    <n v="10"/>
    <m/>
    <n v="8"/>
    <m/>
    <m/>
    <m/>
    <n v="8"/>
    <n v="3"/>
  </r>
  <r>
    <s v="SN"/>
    <s v="Swindon"/>
    <x v="10"/>
    <n v="4"/>
    <m/>
    <m/>
    <m/>
    <n v="4"/>
    <m/>
    <n v="4"/>
    <m/>
    <m/>
    <m/>
    <n v="2"/>
    <m/>
    <n v="3"/>
  </r>
  <r>
    <s v="SP"/>
    <s v="Salisbury"/>
    <x v="10"/>
    <n v="4"/>
    <m/>
    <n v="4"/>
    <m/>
    <m/>
    <m/>
    <n v="4"/>
    <m/>
    <n v="4"/>
    <m/>
    <m/>
    <m/>
    <n v="3"/>
  </r>
  <r>
    <s v="TA"/>
    <s v="Taunton"/>
    <x v="10"/>
    <n v="6"/>
    <m/>
    <m/>
    <n v="4"/>
    <m/>
    <m/>
    <n v="4"/>
    <m/>
    <m/>
    <n v="4"/>
    <m/>
    <m/>
    <n v="3"/>
  </r>
  <r>
    <s v="TQ"/>
    <s v="Torquay"/>
    <x v="10"/>
    <m/>
    <n v="8"/>
    <m/>
    <m/>
    <m/>
    <m/>
    <m/>
    <n v="8"/>
    <m/>
    <m/>
    <m/>
    <m/>
    <n v="2"/>
  </r>
  <r>
    <s v="TR"/>
    <s v="Truro"/>
    <x v="10"/>
    <m/>
    <n v="8"/>
    <m/>
    <n v="6"/>
    <m/>
    <m/>
    <m/>
    <n v="6"/>
    <m/>
    <n v="6"/>
    <m/>
    <m/>
    <n v="3"/>
  </r>
  <r>
    <s v="CF"/>
    <s v="Cardiff"/>
    <x v="11"/>
    <n v="18"/>
    <m/>
    <m/>
    <m/>
    <m/>
    <m/>
    <n v="18"/>
    <m/>
    <n v="18"/>
    <m/>
    <m/>
    <m/>
    <n v="3"/>
  </r>
  <r>
    <s v="LD"/>
    <s v="Llandrindod Wells"/>
    <x v="11"/>
    <m/>
    <n v="2"/>
    <m/>
    <m/>
    <m/>
    <m/>
    <m/>
    <m/>
    <m/>
    <m/>
    <m/>
    <m/>
    <n v="2"/>
  </r>
  <r>
    <s v="LL"/>
    <s v="Llandudno"/>
    <x v="11"/>
    <n v="12"/>
    <m/>
    <m/>
    <m/>
    <n v="12"/>
    <m/>
    <n v="12"/>
    <m/>
    <m/>
    <m/>
    <n v="10"/>
    <m/>
    <n v="3"/>
  </r>
  <r>
    <s v="NP"/>
    <s v="Newport"/>
    <x v="11"/>
    <m/>
    <n v="8"/>
    <m/>
    <m/>
    <n v="6"/>
    <m/>
    <m/>
    <n v="6"/>
    <m/>
    <m/>
    <n v="6"/>
    <m/>
    <n v="3"/>
  </r>
  <r>
    <s v="SA"/>
    <s v="Swansea"/>
    <x v="11"/>
    <m/>
    <n v="8"/>
    <m/>
    <m/>
    <m/>
    <n v="8"/>
    <m/>
    <n v="8"/>
    <m/>
    <m/>
    <m/>
    <n v="6"/>
    <n v="3"/>
  </r>
  <r>
    <s v="B"/>
    <s v="Birmingham"/>
    <x v="12"/>
    <n v="32"/>
    <m/>
    <n v="32"/>
    <m/>
    <n v="32"/>
    <m/>
    <n v="32"/>
    <m/>
    <n v="30"/>
    <m/>
    <n v="30"/>
    <m/>
    <n v="6"/>
  </r>
  <r>
    <s v="CV"/>
    <s v="Coventry"/>
    <x v="12"/>
    <n v="26"/>
    <m/>
    <n v="26"/>
    <m/>
    <m/>
    <m/>
    <n v="26"/>
    <m/>
    <n v="24"/>
    <m/>
    <m/>
    <m/>
    <n v="4"/>
  </r>
  <r>
    <s v="DY"/>
    <s v="Dudley"/>
    <x v="12"/>
    <n v="10"/>
    <m/>
    <n v="8"/>
    <m/>
    <n v="8"/>
    <m/>
    <n v="8"/>
    <m/>
    <n v="8"/>
    <m/>
    <n v="8"/>
    <m/>
    <n v="5"/>
  </r>
  <r>
    <s v="HR"/>
    <s v="Hereford"/>
    <x v="12"/>
    <m/>
    <m/>
    <m/>
    <m/>
    <m/>
    <n v="10"/>
    <m/>
    <m/>
    <m/>
    <m/>
    <m/>
    <n v="8"/>
    <n v="2"/>
  </r>
  <r>
    <s v="ST"/>
    <s v="Stoke-on-Trent"/>
    <x v="12"/>
    <n v="14"/>
    <m/>
    <n v="14"/>
    <m/>
    <n v="14"/>
    <m/>
    <n v="14"/>
    <m/>
    <n v="14"/>
    <m/>
    <n v="14"/>
    <m/>
    <n v="5"/>
  </r>
  <r>
    <s v="SY"/>
    <s v="Shrewsbury"/>
    <x v="12"/>
    <m/>
    <n v="8"/>
    <m/>
    <n v="8"/>
    <m/>
    <m/>
    <m/>
    <n v="6"/>
    <m/>
    <n v="6"/>
    <m/>
    <m/>
    <n v="3"/>
  </r>
  <r>
    <s v="TF"/>
    <s v="Telford"/>
    <x v="12"/>
    <m/>
    <m/>
    <m/>
    <m/>
    <n v="6"/>
    <m/>
    <m/>
    <m/>
    <m/>
    <m/>
    <n v="4"/>
    <m/>
    <n v="2"/>
  </r>
  <r>
    <s v="WR"/>
    <s v="Worcester"/>
    <x v="12"/>
    <n v="12"/>
    <m/>
    <m/>
    <n v="12"/>
    <m/>
    <m/>
    <n v="12"/>
    <m/>
    <m/>
    <n v="12"/>
    <m/>
    <m/>
    <n v="4"/>
  </r>
  <r>
    <s v="WS"/>
    <s v="Walsall"/>
    <x v="12"/>
    <n v="12"/>
    <m/>
    <n v="12"/>
    <m/>
    <m/>
    <m/>
    <n v="10"/>
    <m/>
    <n v="10"/>
    <m/>
    <m/>
    <m/>
    <n v="3"/>
  </r>
  <r>
    <s v="WV"/>
    <s v="Wolverhampton"/>
    <x v="12"/>
    <n v="14"/>
    <m/>
    <m/>
    <m/>
    <n v="12"/>
    <m/>
    <n v="12"/>
    <m/>
    <m/>
    <m/>
    <n v="12"/>
    <m/>
    <n v="3"/>
  </r>
  <r>
    <s v="BD"/>
    <s v="Bradford"/>
    <x v="13"/>
    <m/>
    <n v="12"/>
    <m/>
    <n v="12"/>
    <m/>
    <m/>
    <m/>
    <n v="12"/>
    <m/>
    <m/>
    <m/>
    <m/>
    <n v="3"/>
  </r>
  <r>
    <s v="DN"/>
    <s v="Doncaster"/>
    <x v="13"/>
    <n v="20"/>
    <m/>
    <m/>
    <n v="20"/>
    <m/>
    <m/>
    <n v="18"/>
    <m/>
    <m/>
    <n v="18"/>
    <m/>
    <m/>
    <n v="4"/>
  </r>
  <r>
    <s v="HD"/>
    <s v="Huddersfield"/>
    <x v="13"/>
    <m/>
    <m/>
    <m/>
    <n v="6"/>
    <m/>
    <m/>
    <m/>
    <m/>
    <m/>
    <n v="4"/>
    <m/>
    <m/>
    <n v="2"/>
  </r>
  <r>
    <s v="HG"/>
    <s v="Harrogate"/>
    <x v="13"/>
    <m/>
    <m/>
    <n v="2"/>
    <m/>
    <m/>
    <m/>
    <m/>
    <m/>
    <n v="2"/>
    <m/>
    <m/>
    <m/>
    <n v="2"/>
  </r>
  <r>
    <s v="HU"/>
    <s v="Hull"/>
    <x v="13"/>
    <m/>
    <m/>
    <n v="10"/>
    <m/>
    <n v="10"/>
    <m/>
    <m/>
    <m/>
    <n v="8"/>
    <m/>
    <n v="8"/>
    <m/>
    <n v="3"/>
  </r>
  <r>
    <s v="HX"/>
    <s v="Halifax"/>
    <x v="13"/>
    <m/>
    <m/>
    <m/>
    <m/>
    <n v="4"/>
    <m/>
    <m/>
    <m/>
    <m/>
    <m/>
    <n v="4"/>
    <m/>
    <n v="2"/>
  </r>
  <r>
    <s v="LS"/>
    <s v="Leeds"/>
    <x v="13"/>
    <m/>
    <n v="14"/>
    <m/>
    <m/>
    <n v="14"/>
    <m/>
    <m/>
    <n v="14"/>
    <m/>
    <m/>
    <n v="14"/>
    <m/>
    <n v="4"/>
  </r>
  <r>
    <s v="R"/>
    <s v="Rotherham"/>
    <x v="13"/>
    <m/>
    <m/>
    <n v="2"/>
    <m/>
    <m/>
    <m/>
    <m/>
    <m/>
    <n v="2"/>
    <m/>
    <m/>
    <m/>
    <n v="2"/>
  </r>
  <r>
    <s v="S"/>
    <s v="Sheffield"/>
    <x v="13"/>
    <n v="16"/>
    <m/>
    <n v="16"/>
    <m/>
    <n v="16"/>
    <m/>
    <n v="16"/>
    <m/>
    <n v="16"/>
    <m/>
    <n v="16"/>
    <m/>
    <n v="5"/>
  </r>
  <r>
    <s v="WF"/>
    <s v="Wakefield"/>
    <x v="13"/>
    <n v="14"/>
    <m/>
    <m/>
    <n v="14"/>
    <m/>
    <m/>
    <n v="14"/>
    <m/>
    <m/>
    <n v="12"/>
    <m/>
    <m/>
    <n v="4"/>
  </r>
  <r>
    <s v="YO"/>
    <s v="York"/>
    <x v="13"/>
    <n v="20"/>
    <m/>
    <n v="18"/>
    <m/>
    <n v="18"/>
    <m/>
    <n v="18"/>
    <m/>
    <n v="18"/>
    <m/>
    <n v="18"/>
    <m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5EA16-502E-724C-970B-1927CDC4D52C}" name="PivotTable1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7:AH20" firstHeaderRow="1" firstDataRow="2" firstDataCol="1"/>
  <pivotFields count="16">
    <pivotField showAll="0"/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2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2">
    <dataField name="Sum of Jan" fld="3" baseField="0" baseItem="0"/>
    <dataField name="Sum of Feb" fld="4" baseField="0" baseItem="0"/>
    <dataField name="Sum of Mar" fld="5" baseField="0" baseItem="0"/>
    <dataField name="Sum of Apr" fld="6" baseField="0" baseItem="0"/>
    <dataField name="Sum of May" fld="7" baseField="0" baseItem="0"/>
    <dataField name="Sum of Jun" fld="8" baseField="0" baseItem="0"/>
    <dataField name="Sum of Jul" fld="9" baseField="0" baseItem="0"/>
    <dataField name="Sum of Aug" fld="10" baseField="0" baseItem="0"/>
    <dataField name="Sum of Sep" fld="11" baseField="0" baseItem="0"/>
    <dataField name="Sum of Oct" fld="12" baseField="0" baseItem="0"/>
    <dataField name="Sum of Nov" fld="13" baseField="0" baseItem="0"/>
    <dataField name="Sum of Dec" fld="14" baseField="0" baseItem="0"/>
  </dataFields>
  <formats count="3">
    <format dxfId="5">
      <pivotArea collapsedLevelsAreSubtotals="1" fieldPosition="0">
        <references count="1">
          <reference field="4294967294" count="1">
            <x v="6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3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BE371-1215-614E-9CC6-6D061F440DE5}" name="Table1" displayName="Table1" ref="A1:P125" totalsRowShown="0" headerRowDxfId="2" headerRowBorderDxfId="1" tableBorderDxfId="0">
  <autoFilter ref="A1:P125" xr:uid="{207BE371-1215-614E-9CC6-6D061F440DE5}"/>
  <sortState xmlns:xlrd2="http://schemas.microsoft.com/office/spreadsheetml/2017/richdata2" ref="A2:P125">
    <sortCondition ref="A1:A125"/>
  </sortState>
  <tableColumns count="16">
    <tableColumn id="1" xr3:uid="{4AD7FE30-CD26-244F-8CC2-8930110CC9E1}" name="Postcode"/>
    <tableColumn id="2" xr3:uid="{9302A644-A0B2-8C4D-A157-38702DD2DA2F}" name="Area Name"/>
    <tableColumn id="3" xr3:uid="{AEDF46C7-B64C-7A47-B48A-CBDA66DEFEF7}" name="Region"/>
    <tableColumn id="4" xr3:uid="{01822635-8C9D-424A-8CA7-B77546C6C169}" name="Jan"/>
    <tableColumn id="5" xr3:uid="{0EB695B0-BA87-C841-951A-E4DE632A49EA}" name="Feb"/>
    <tableColumn id="6" xr3:uid="{D172956C-BB6C-1F41-AD3C-41BF0B9F7F5E}" name="Mar"/>
    <tableColumn id="7" xr3:uid="{68BC18EB-4318-DE4C-85E5-F4B719752A6A}" name="Apr"/>
    <tableColumn id="8" xr3:uid="{C724F398-B627-674F-A8AF-C241E8C45D14}" name="May"/>
    <tableColumn id="9" xr3:uid="{D856A0A7-BEBE-DA43-BDCD-1AF6EDBF2664}" name="Jun"/>
    <tableColumn id="10" xr3:uid="{0AE905E6-368D-994B-933B-3475FAE29008}" name="Jul"/>
    <tableColumn id="11" xr3:uid="{A1B30049-7C71-6D4A-B45D-6F8DEE7943DE}" name="Aug"/>
    <tableColumn id="12" xr3:uid="{4467F617-D688-DF44-80A9-CE64D88DF65A}" name="Sep"/>
    <tableColumn id="13" xr3:uid="{67A827E0-FED4-C34D-8613-86859A70F534}" name="Oct"/>
    <tableColumn id="14" xr3:uid="{CEB4FCB9-3702-8B4A-AA15-89646E04F013}" name="Nov"/>
    <tableColumn id="15" xr3:uid="{788EF2C4-D166-CD4D-8695-3206A8ADFAAC}" name="Dec"/>
    <tableColumn id="16" xr3:uid="{14F6D125-E6E2-4E48-96F0-4C17335F27C3}" name="Per 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8"/>
  <sheetViews>
    <sheetView tabSelected="1" zoomScale="85" workbookViewId="0">
      <pane ySplit="1" topLeftCell="A93" activePane="bottomLeft" state="frozen"/>
      <selection pane="bottomLeft" activeCell="A121" sqref="A121:XFD121"/>
    </sheetView>
  </sheetViews>
  <sheetFormatPr defaultColWidth="8.88671875" defaultRowHeight="14.4" x14ac:dyDescent="0.3"/>
  <cols>
    <col min="1" max="1" width="10.6640625" customWidth="1"/>
    <col min="2" max="2" width="12" customWidth="1"/>
    <col min="3" max="3" width="29.88671875" customWidth="1"/>
    <col min="16" max="16" width="9.88671875" customWidth="1"/>
    <col min="19" max="19" width="11.5546875" bestFit="1" customWidth="1"/>
    <col min="20" max="20" width="17.33203125" bestFit="1" customWidth="1"/>
    <col min="21" max="21" width="14.88671875" bestFit="1" customWidth="1"/>
    <col min="22" max="22" width="9.5546875" bestFit="1" customWidth="1"/>
    <col min="23" max="23" width="11" bestFit="1" customWidth="1"/>
    <col min="24" max="24" width="6.5546875" bestFit="1" customWidth="1"/>
    <col min="25" max="25" width="7.88671875" bestFit="1" customWidth="1"/>
    <col min="26" max="26" width="10.5546875" bestFit="1" customWidth="1"/>
    <col min="27" max="27" width="11.44140625" bestFit="1" customWidth="1"/>
    <col min="28" max="28" width="8.88671875" bestFit="1" customWidth="1"/>
    <col min="29" max="29" width="10.5546875" bestFit="1" customWidth="1"/>
    <col min="30" max="30" width="11.44140625" bestFit="1" customWidth="1"/>
    <col min="31" max="31" width="6.5546875" customWidth="1"/>
    <col min="32" max="32" width="14.6640625" bestFit="1" customWidth="1"/>
    <col min="33" max="33" width="25" bestFit="1" customWidth="1"/>
    <col min="34" max="34" width="11.6640625" bestFit="1" customWidth="1"/>
    <col min="35" max="186" width="21.6640625" bestFit="1" customWidth="1"/>
    <col min="187" max="187" width="13.44140625" bestFit="1" customWidth="1"/>
    <col min="188" max="188" width="13.6640625" bestFit="1" customWidth="1"/>
    <col min="189" max="189" width="13.88671875" bestFit="1" customWidth="1"/>
    <col min="190" max="190" width="13" bestFit="1" customWidth="1"/>
    <col min="191" max="191" width="13.44140625" bestFit="1" customWidth="1"/>
    <col min="192" max="192" width="14.109375" bestFit="1" customWidth="1"/>
    <col min="193" max="193" width="13.6640625" bestFit="1" customWidth="1"/>
    <col min="194" max="194" width="14" bestFit="1" customWidth="1"/>
    <col min="195" max="195" width="13.6640625" bestFit="1" customWidth="1"/>
    <col min="196" max="197" width="13.88671875" bestFit="1" customWidth="1"/>
    <col min="198" max="198" width="13.33203125" bestFit="1" customWidth="1"/>
  </cols>
  <sheetData>
    <row r="1" spans="1:36" x14ac:dyDescent="0.3">
      <c r="A1" s="20" t="s">
        <v>0</v>
      </c>
      <c r="B1" s="20" t="s">
        <v>1</v>
      </c>
      <c r="C1" s="20" t="s">
        <v>2</v>
      </c>
      <c r="D1" s="1" t="s">
        <v>3</v>
      </c>
      <c r="E1" s="14" t="s">
        <v>4</v>
      </c>
      <c r="F1" s="15" t="s">
        <v>5</v>
      </c>
      <c r="G1" s="16" t="s">
        <v>6</v>
      </c>
      <c r="H1" s="17" t="s">
        <v>7</v>
      </c>
      <c r="I1" s="18" t="s">
        <v>8</v>
      </c>
      <c r="J1" s="1" t="s">
        <v>9</v>
      </c>
      <c r="K1" s="14" t="s">
        <v>10</v>
      </c>
      <c r="L1" s="15" t="s">
        <v>11</v>
      </c>
      <c r="M1" s="16" t="s">
        <v>12</v>
      </c>
      <c r="N1" s="17" t="s">
        <v>13</v>
      </c>
      <c r="O1" s="18" t="s">
        <v>14</v>
      </c>
      <c r="P1" s="1" t="s">
        <v>15</v>
      </c>
    </row>
    <row r="2" spans="1:36" x14ac:dyDescent="0.3">
      <c r="A2" s="5" t="s">
        <v>16</v>
      </c>
      <c r="B2" s="5" t="s">
        <v>17</v>
      </c>
      <c r="C2" s="5" t="s">
        <v>18</v>
      </c>
      <c r="D2" s="28" t="s">
        <v>19</v>
      </c>
      <c r="E2" s="14"/>
      <c r="F2" s="15"/>
      <c r="G2" s="28" t="s">
        <v>19</v>
      </c>
      <c r="H2" s="17"/>
      <c r="I2" s="18"/>
      <c r="J2" s="28" t="s">
        <v>19</v>
      </c>
      <c r="K2" s="14"/>
      <c r="L2" s="15"/>
      <c r="M2" s="28" t="s">
        <v>19</v>
      </c>
      <c r="N2" s="17"/>
      <c r="O2" s="18"/>
      <c r="P2">
        <v>4</v>
      </c>
    </row>
    <row r="3" spans="1:36" x14ac:dyDescent="0.3">
      <c r="A3" s="26" t="s">
        <v>20</v>
      </c>
      <c r="B3" s="26" t="s">
        <v>21</v>
      </c>
      <c r="C3" s="26" t="s">
        <v>22</v>
      </c>
      <c r="D3" s="1"/>
      <c r="E3" s="14"/>
      <c r="F3" s="15"/>
      <c r="G3" s="16"/>
      <c r="H3" s="28" t="s">
        <v>19</v>
      </c>
      <c r="I3" s="28" t="s">
        <v>19</v>
      </c>
      <c r="J3" s="1"/>
      <c r="K3" s="14"/>
      <c r="L3" s="15"/>
      <c r="M3" s="16"/>
      <c r="N3" s="28" t="s">
        <v>19</v>
      </c>
      <c r="O3" s="28" t="s">
        <v>19</v>
      </c>
      <c r="P3">
        <v>4</v>
      </c>
    </row>
    <row r="4" spans="1:36" x14ac:dyDescent="0.3">
      <c r="A4" s="5" t="s">
        <v>23</v>
      </c>
      <c r="B4" s="5" t="s">
        <v>24</v>
      </c>
      <c r="C4" s="5" t="s">
        <v>25</v>
      </c>
      <c r="D4" s="28" t="s">
        <v>19</v>
      </c>
      <c r="E4" s="28" t="s">
        <v>19</v>
      </c>
      <c r="F4" s="15"/>
      <c r="G4" s="16"/>
      <c r="H4" s="28" t="s">
        <v>19</v>
      </c>
      <c r="I4" s="28" t="s">
        <v>19</v>
      </c>
      <c r="J4" s="28" t="s">
        <v>19</v>
      </c>
      <c r="K4" s="28" t="s">
        <v>19</v>
      </c>
      <c r="L4" s="15"/>
      <c r="M4" s="16"/>
      <c r="N4" s="28" t="s">
        <v>19</v>
      </c>
      <c r="O4" s="28" t="s">
        <v>19</v>
      </c>
      <c r="P4">
        <v>6</v>
      </c>
    </row>
    <row r="5" spans="1:36" x14ac:dyDescent="0.3">
      <c r="A5" s="5" t="s">
        <v>26</v>
      </c>
      <c r="B5" s="5" t="s">
        <v>27</v>
      </c>
      <c r="C5" s="5" t="s">
        <v>28</v>
      </c>
      <c r="D5" s="1"/>
      <c r="E5" s="28" t="s">
        <v>19</v>
      </c>
      <c r="F5" s="15"/>
      <c r="G5" s="16"/>
      <c r="H5" s="28" t="s">
        <v>19</v>
      </c>
      <c r="I5" s="18"/>
      <c r="J5" s="1"/>
      <c r="K5" s="28" t="s">
        <v>19</v>
      </c>
      <c r="L5" s="15"/>
      <c r="M5" s="16"/>
      <c r="N5" s="28" t="s">
        <v>19</v>
      </c>
      <c r="O5" s="18"/>
      <c r="P5">
        <v>4</v>
      </c>
    </row>
    <row r="6" spans="1:36" x14ac:dyDescent="0.3">
      <c r="A6" s="26" t="s">
        <v>29</v>
      </c>
      <c r="B6" s="26" t="s">
        <v>30</v>
      </c>
      <c r="C6" s="27" t="s">
        <v>31</v>
      </c>
      <c r="D6" s="1"/>
      <c r="E6" s="28" t="s">
        <v>19</v>
      </c>
      <c r="F6" s="22"/>
      <c r="G6" s="28" t="s">
        <v>19</v>
      </c>
      <c r="H6" s="24"/>
      <c r="I6" s="25"/>
      <c r="J6" s="1"/>
      <c r="K6" s="28" t="s">
        <v>19</v>
      </c>
      <c r="L6" s="22"/>
      <c r="M6" s="28" t="s">
        <v>19</v>
      </c>
      <c r="N6" s="24"/>
      <c r="O6" s="25"/>
      <c r="P6">
        <v>4</v>
      </c>
    </row>
    <row r="7" spans="1:36" x14ac:dyDescent="0.3">
      <c r="A7" s="5" t="s">
        <v>32</v>
      </c>
      <c r="B7" s="5" t="s">
        <v>33</v>
      </c>
      <c r="C7" s="5" t="s">
        <v>34</v>
      </c>
      <c r="D7" s="1"/>
      <c r="E7" s="28" t="s">
        <v>19</v>
      </c>
      <c r="F7" s="15"/>
      <c r="G7" s="28" t="s">
        <v>19</v>
      </c>
      <c r="H7" s="17"/>
      <c r="I7" s="18"/>
      <c r="J7" s="1"/>
      <c r="K7" s="28" t="s">
        <v>19</v>
      </c>
      <c r="L7" s="15"/>
      <c r="M7" s="28" t="s">
        <v>19</v>
      </c>
      <c r="N7" s="17"/>
      <c r="O7" s="18"/>
      <c r="P7">
        <v>4</v>
      </c>
      <c r="T7" s="2" t="s">
        <v>35</v>
      </c>
    </row>
    <row r="8" spans="1:36" x14ac:dyDescent="0.3">
      <c r="A8" s="5" t="s">
        <v>36</v>
      </c>
      <c r="B8" s="5" t="s">
        <v>37</v>
      </c>
      <c r="C8" s="5" t="s">
        <v>28</v>
      </c>
      <c r="D8" s="28" t="s">
        <v>19</v>
      </c>
      <c r="E8" s="14"/>
      <c r="F8" s="28" t="s">
        <v>19</v>
      </c>
      <c r="G8" s="16"/>
      <c r="H8" s="17"/>
      <c r="I8" s="18"/>
      <c r="J8" s="28" t="s">
        <v>19</v>
      </c>
      <c r="K8" s="14"/>
      <c r="L8" s="28" t="s">
        <v>19</v>
      </c>
      <c r="M8" s="16"/>
      <c r="N8" s="17"/>
      <c r="O8" s="18"/>
      <c r="P8">
        <v>4</v>
      </c>
      <c r="S8" s="2" t="s">
        <v>38</v>
      </c>
      <c r="T8" t="s">
        <v>39</v>
      </c>
      <c r="U8" t="s">
        <v>22</v>
      </c>
      <c r="V8" t="s">
        <v>40</v>
      </c>
      <c r="W8" t="s">
        <v>41</v>
      </c>
      <c r="X8" t="s">
        <v>42</v>
      </c>
      <c r="Y8" t="s">
        <v>43</v>
      </c>
      <c r="Z8" t="s">
        <v>44</v>
      </c>
      <c r="AA8" t="s">
        <v>31</v>
      </c>
      <c r="AB8" t="s">
        <v>18</v>
      </c>
      <c r="AC8" t="s">
        <v>45</v>
      </c>
      <c r="AD8" t="s">
        <v>28</v>
      </c>
      <c r="AE8" t="s">
        <v>46</v>
      </c>
      <c r="AF8" t="s">
        <v>25</v>
      </c>
      <c r="AG8" t="s">
        <v>34</v>
      </c>
      <c r="AH8" t="s">
        <v>47</v>
      </c>
      <c r="AI8" t="s">
        <v>48</v>
      </c>
    </row>
    <row r="9" spans="1:36" x14ac:dyDescent="0.3">
      <c r="A9" s="26" t="s">
        <v>49</v>
      </c>
      <c r="B9" s="26" t="s">
        <v>50</v>
      </c>
      <c r="C9" s="27" t="s">
        <v>31</v>
      </c>
      <c r="D9" s="19"/>
      <c r="E9" s="28" t="s">
        <v>19</v>
      </c>
      <c r="F9" s="28" t="s">
        <v>19</v>
      </c>
      <c r="G9" s="23"/>
      <c r="H9" s="24"/>
      <c r="I9" s="25"/>
      <c r="J9" s="1"/>
      <c r="K9" s="28" t="s">
        <v>19</v>
      </c>
      <c r="L9" s="28" t="s">
        <v>19</v>
      </c>
      <c r="M9" s="23"/>
      <c r="N9" s="24"/>
      <c r="O9" s="25"/>
      <c r="P9">
        <v>4</v>
      </c>
      <c r="S9" s="12" t="s">
        <v>51</v>
      </c>
      <c r="T9" s="13">
        <v>76</v>
      </c>
      <c r="U9" s="13">
        <v>118</v>
      </c>
      <c r="V9" s="13"/>
      <c r="W9" s="13"/>
      <c r="X9" s="13"/>
      <c r="Y9" s="13">
        <v>66</v>
      </c>
      <c r="Z9" s="13">
        <v>40</v>
      </c>
      <c r="AA9" s="13">
        <v>96</v>
      </c>
      <c r="AB9" s="13">
        <v>30</v>
      </c>
      <c r="AC9" s="13">
        <v>102</v>
      </c>
      <c r="AD9" s="13">
        <v>44</v>
      </c>
      <c r="AE9" s="13">
        <v>30</v>
      </c>
      <c r="AF9" s="13">
        <v>120</v>
      </c>
      <c r="AG9" s="13">
        <v>70</v>
      </c>
      <c r="AH9" s="13">
        <v>792</v>
      </c>
      <c r="AI9" s="7">
        <f>GETPIVOTDATA("Sum of Jan",$S$7)/(AF27*AG27)</f>
        <v>24</v>
      </c>
    </row>
    <row r="10" spans="1:36" x14ac:dyDescent="0.3">
      <c r="A10" s="5" t="s">
        <v>52</v>
      </c>
      <c r="B10" s="5" t="s">
        <v>53</v>
      </c>
      <c r="C10" s="5" t="s">
        <v>45</v>
      </c>
      <c r="D10" s="19"/>
      <c r="E10" s="28" t="s">
        <v>19</v>
      </c>
      <c r="F10" s="15"/>
      <c r="G10" s="16"/>
      <c r="H10" s="28" t="s">
        <v>19</v>
      </c>
      <c r="I10" s="18"/>
      <c r="J10" s="1"/>
      <c r="K10" s="28" t="s">
        <v>19</v>
      </c>
      <c r="L10" s="15"/>
      <c r="M10" s="16"/>
      <c r="N10" s="28" t="s">
        <v>19</v>
      </c>
      <c r="O10" s="18"/>
      <c r="P10">
        <v>4</v>
      </c>
      <c r="S10" s="3" t="s">
        <v>54</v>
      </c>
      <c r="T10">
        <v>6</v>
      </c>
      <c r="U10">
        <v>16</v>
      </c>
      <c r="Y10">
        <v>34</v>
      </c>
      <c r="Z10">
        <v>14</v>
      </c>
      <c r="AA10">
        <v>8</v>
      </c>
      <c r="AB10">
        <v>18</v>
      </c>
      <c r="AC10">
        <v>106</v>
      </c>
      <c r="AD10">
        <v>42</v>
      </c>
      <c r="AE10">
        <v>18</v>
      </c>
      <c r="AF10">
        <v>8</v>
      </c>
      <c r="AG10">
        <v>26</v>
      </c>
      <c r="AH10">
        <v>296</v>
      </c>
      <c r="AI10" s="7">
        <f>GETPIVOTDATA("Sum of Feb",$S$7)/(AF27*AG27)</f>
        <v>8.9696969696969688</v>
      </c>
    </row>
    <row r="11" spans="1:36" x14ac:dyDescent="0.3">
      <c r="A11" s="5" t="s">
        <v>55</v>
      </c>
      <c r="B11" s="5" t="s">
        <v>56</v>
      </c>
      <c r="C11" s="5" t="s">
        <v>43</v>
      </c>
      <c r="D11" s="1"/>
      <c r="E11" s="14"/>
      <c r="F11" s="15"/>
      <c r="G11" s="16"/>
      <c r="H11" s="17"/>
      <c r="I11" s="28" t="s">
        <v>19</v>
      </c>
      <c r="J11" s="1"/>
      <c r="K11" s="14"/>
      <c r="L11" s="15"/>
      <c r="M11" s="16"/>
      <c r="N11" s="17"/>
      <c r="O11" s="28" t="s">
        <v>19</v>
      </c>
      <c r="P11">
        <v>2</v>
      </c>
      <c r="S11" s="3" t="s">
        <v>57</v>
      </c>
      <c r="T11">
        <v>58</v>
      </c>
      <c r="U11">
        <v>40</v>
      </c>
      <c r="V11">
        <v>8</v>
      </c>
      <c r="Y11">
        <v>34</v>
      </c>
      <c r="Z11">
        <v>18</v>
      </c>
      <c r="AA11">
        <v>42</v>
      </c>
      <c r="AB11">
        <v>12</v>
      </c>
      <c r="AC11">
        <v>16</v>
      </c>
      <c r="AD11">
        <v>22</v>
      </c>
      <c r="AF11">
        <v>92</v>
      </c>
      <c r="AG11">
        <v>48</v>
      </c>
      <c r="AH11">
        <v>390</v>
      </c>
      <c r="AI11" s="7">
        <f>GETPIVOTDATA("Sum of Mar",$S$7)/(AF27*AG27)</f>
        <v>11.818181818181818</v>
      </c>
    </row>
    <row r="12" spans="1:36" x14ac:dyDescent="0.3">
      <c r="A12" s="5" t="s">
        <v>58</v>
      </c>
      <c r="B12" s="5" t="s">
        <v>59</v>
      </c>
      <c r="C12" s="5" t="s">
        <v>28</v>
      </c>
      <c r="D12" s="19"/>
      <c r="E12" s="28" t="s">
        <v>19</v>
      </c>
      <c r="F12" s="15"/>
      <c r="G12" s="16"/>
      <c r="H12" s="28" t="s">
        <v>19</v>
      </c>
      <c r="I12" s="18"/>
      <c r="J12" s="1"/>
      <c r="K12" s="28" t="s">
        <v>19</v>
      </c>
      <c r="L12" s="15"/>
      <c r="M12" s="16"/>
      <c r="N12" s="28" t="s">
        <v>19</v>
      </c>
      <c r="O12" s="18"/>
      <c r="P12">
        <v>4</v>
      </c>
      <c r="S12" s="3" t="s">
        <v>60</v>
      </c>
      <c r="U12">
        <v>30</v>
      </c>
      <c r="W12">
        <v>18</v>
      </c>
      <c r="X12">
        <v>14</v>
      </c>
      <c r="Y12">
        <v>32</v>
      </c>
      <c r="AA12">
        <v>50</v>
      </c>
      <c r="AB12">
        <v>30</v>
      </c>
      <c r="AC12">
        <v>76</v>
      </c>
      <c r="AD12">
        <v>24</v>
      </c>
      <c r="AF12">
        <v>20</v>
      </c>
      <c r="AG12">
        <v>52</v>
      </c>
      <c r="AH12">
        <v>346</v>
      </c>
      <c r="AI12" s="7">
        <f>GETPIVOTDATA("Sum of Apr",$S$7)/(AF27*AG27)</f>
        <v>10.484848484848484</v>
      </c>
    </row>
    <row r="13" spans="1:36" x14ac:dyDescent="0.3">
      <c r="A13" s="26" t="s">
        <v>61</v>
      </c>
      <c r="B13" s="26" t="s">
        <v>62</v>
      </c>
      <c r="C13" s="27" t="s">
        <v>31</v>
      </c>
      <c r="D13" s="1"/>
      <c r="E13" s="28" t="s">
        <v>19</v>
      </c>
      <c r="F13" s="22"/>
      <c r="G13" s="23"/>
      <c r="H13" s="28" t="s">
        <v>19</v>
      </c>
      <c r="I13" s="25"/>
      <c r="J13" s="1"/>
      <c r="K13" s="28" t="s">
        <v>19</v>
      </c>
      <c r="L13" s="22"/>
      <c r="M13" s="23"/>
      <c r="N13" s="28" t="s">
        <v>19</v>
      </c>
      <c r="O13" s="25"/>
      <c r="P13">
        <v>4</v>
      </c>
      <c r="S13" s="3" t="s">
        <v>63</v>
      </c>
      <c r="T13">
        <v>56</v>
      </c>
      <c r="U13">
        <v>56</v>
      </c>
      <c r="Y13">
        <v>52</v>
      </c>
      <c r="Z13">
        <v>20</v>
      </c>
      <c r="AA13">
        <v>32</v>
      </c>
      <c r="AB13">
        <v>12</v>
      </c>
      <c r="AC13">
        <v>78</v>
      </c>
      <c r="AD13">
        <v>18</v>
      </c>
      <c r="AE13">
        <v>18</v>
      </c>
      <c r="AF13">
        <v>72</v>
      </c>
      <c r="AG13">
        <v>62</v>
      </c>
      <c r="AH13">
        <v>476</v>
      </c>
      <c r="AI13" s="7">
        <f>GETPIVOTDATA("Sum of May",$S$7)/(AF27*AG27)</f>
        <v>14.424242424242424</v>
      </c>
    </row>
    <row r="14" spans="1:36" x14ac:dyDescent="0.3">
      <c r="A14" s="26" t="s">
        <v>64</v>
      </c>
      <c r="B14" s="26" t="s">
        <v>65</v>
      </c>
      <c r="C14" s="26" t="s">
        <v>22</v>
      </c>
      <c r="D14" s="1"/>
      <c r="E14" s="14"/>
      <c r="F14" s="15"/>
      <c r="G14" s="16"/>
      <c r="H14" s="28" t="s">
        <v>19</v>
      </c>
      <c r="I14" s="28" t="s">
        <v>19</v>
      </c>
      <c r="J14" s="1"/>
      <c r="K14" s="14"/>
      <c r="L14" s="15"/>
      <c r="M14" s="16"/>
      <c r="N14" s="28" t="s">
        <v>19</v>
      </c>
      <c r="O14" s="28" t="s">
        <v>19</v>
      </c>
      <c r="P14">
        <v>4</v>
      </c>
      <c r="S14" s="3" t="s">
        <v>66</v>
      </c>
      <c r="T14">
        <v>6</v>
      </c>
      <c r="U14">
        <v>16</v>
      </c>
      <c r="V14">
        <v>4</v>
      </c>
      <c r="Y14">
        <v>18</v>
      </c>
      <c r="Z14">
        <v>4</v>
      </c>
      <c r="AB14">
        <v>14</v>
      </c>
      <c r="AC14">
        <v>36</v>
      </c>
      <c r="AD14">
        <v>10</v>
      </c>
      <c r="AE14">
        <v>8</v>
      </c>
      <c r="AF14">
        <v>10</v>
      </c>
      <c r="AH14">
        <v>126</v>
      </c>
      <c r="AI14" s="7">
        <f>GETPIVOTDATA("Sum of Jun",$S$7)/(AF27*AG27)</f>
        <v>3.8181818181818183</v>
      </c>
    </row>
    <row r="15" spans="1:36" x14ac:dyDescent="0.3">
      <c r="A15" s="5" t="s">
        <v>67</v>
      </c>
      <c r="B15" s="5" t="s">
        <v>68</v>
      </c>
      <c r="C15" s="5" t="s">
        <v>46</v>
      </c>
      <c r="D15" s="28" t="s">
        <v>19</v>
      </c>
      <c r="E15" s="14"/>
      <c r="F15" s="28" t="s">
        <v>19</v>
      </c>
      <c r="G15" s="16"/>
      <c r="H15" s="17"/>
      <c r="I15" s="18"/>
      <c r="J15" s="28" t="s">
        <v>19</v>
      </c>
      <c r="K15" s="14"/>
      <c r="L15" s="28" t="s">
        <v>19</v>
      </c>
      <c r="M15" s="16"/>
      <c r="N15" s="17"/>
      <c r="O15" s="18"/>
      <c r="P15">
        <v>4</v>
      </c>
      <c r="S15" s="12" t="s">
        <v>69</v>
      </c>
      <c r="T15" s="13">
        <v>72</v>
      </c>
      <c r="U15" s="13">
        <v>110</v>
      </c>
      <c r="V15" s="13"/>
      <c r="W15" s="13"/>
      <c r="X15" s="13"/>
      <c r="Y15" s="13">
        <v>64</v>
      </c>
      <c r="Z15" s="13">
        <v>36</v>
      </c>
      <c r="AA15" s="13">
        <v>98</v>
      </c>
      <c r="AB15" s="13">
        <v>20</v>
      </c>
      <c r="AC15" s="13">
        <v>96</v>
      </c>
      <c r="AD15" s="13">
        <v>46</v>
      </c>
      <c r="AE15" s="13">
        <v>30</v>
      </c>
      <c r="AF15" s="13">
        <v>114</v>
      </c>
      <c r="AG15" s="13">
        <v>66</v>
      </c>
      <c r="AH15" s="13">
        <v>752</v>
      </c>
      <c r="AI15" s="7">
        <f>GETPIVOTDATA("Sum of Jul",$S$7)/(AF27*AG27)</f>
        <v>22.787878787878789</v>
      </c>
    </row>
    <row r="16" spans="1:36" x14ac:dyDescent="0.3">
      <c r="A16" s="26" t="s">
        <v>70</v>
      </c>
      <c r="B16" s="26" t="s">
        <v>71</v>
      </c>
      <c r="C16" s="27" t="s">
        <v>31</v>
      </c>
      <c r="D16" s="1"/>
      <c r="E16" s="28" t="s">
        <v>19</v>
      </c>
      <c r="F16" s="28" t="s">
        <v>19</v>
      </c>
      <c r="G16" s="23"/>
      <c r="H16" s="24"/>
      <c r="I16" s="25"/>
      <c r="J16" s="1"/>
      <c r="K16" s="28" t="s">
        <v>19</v>
      </c>
      <c r="L16" s="28" t="s">
        <v>19</v>
      </c>
      <c r="M16" s="23"/>
      <c r="N16" s="24"/>
      <c r="O16" s="25"/>
      <c r="P16">
        <v>4</v>
      </c>
      <c r="S16" s="3" t="s">
        <v>72</v>
      </c>
      <c r="T16">
        <v>6</v>
      </c>
      <c r="U16">
        <v>14</v>
      </c>
      <c r="Y16">
        <v>28</v>
      </c>
      <c r="Z16">
        <v>12</v>
      </c>
      <c r="AA16">
        <v>8</v>
      </c>
      <c r="AB16">
        <v>14</v>
      </c>
      <c r="AC16">
        <v>102</v>
      </c>
      <c r="AD16">
        <v>34</v>
      </c>
      <c r="AE16">
        <v>14</v>
      </c>
      <c r="AF16">
        <v>6</v>
      </c>
      <c r="AG16">
        <v>26</v>
      </c>
      <c r="AH16">
        <v>264</v>
      </c>
      <c r="AI16" s="7" cm="1">
        <f t="array" ref="AI16:AJ16">AG16:AH16/(AF27*AG27)</f>
        <v>0.78787878787878785</v>
      </c>
      <c r="AJ16">
        <v>8</v>
      </c>
    </row>
    <row r="17" spans="1:35" x14ac:dyDescent="0.3">
      <c r="A17" s="26" t="s">
        <v>73</v>
      </c>
      <c r="B17" s="26" t="s">
        <v>74</v>
      </c>
      <c r="C17" s="26" t="s">
        <v>22</v>
      </c>
      <c r="D17" s="1"/>
      <c r="E17" s="14"/>
      <c r="F17" s="15"/>
      <c r="G17" s="28" t="s">
        <v>19</v>
      </c>
      <c r="H17" s="17"/>
      <c r="I17" s="28" t="s">
        <v>19</v>
      </c>
      <c r="J17" s="1"/>
      <c r="K17" s="14"/>
      <c r="L17" s="15"/>
      <c r="M17" s="28" t="s">
        <v>19</v>
      </c>
      <c r="N17" s="17"/>
      <c r="O17" s="28" t="s">
        <v>19</v>
      </c>
      <c r="P17">
        <v>4</v>
      </c>
      <c r="S17" s="3" t="s">
        <v>75</v>
      </c>
      <c r="T17">
        <v>56</v>
      </c>
      <c r="U17">
        <v>38</v>
      </c>
      <c r="V17">
        <v>4</v>
      </c>
      <c r="Y17">
        <v>32</v>
      </c>
      <c r="Z17">
        <v>18</v>
      </c>
      <c r="AA17">
        <v>36</v>
      </c>
      <c r="AC17">
        <v>16</v>
      </c>
      <c r="AD17">
        <v>18</v>
      </c>
      <c r="AE17">
        <v>18</v>
      </c>
      <c r="AF17">
        <v>86</v>
      </c>
      <c r="AG17">
        <v>46</v>
      </c>
      <c r="AH17">
        <v>368</v>
      </c>
      <c r="AI17" s="7">
        <f>GETPIVOTDATA("Sum of Sep",$S$7)/(AF27*AG27)</f>
        <v>11.151515151515152</v>
      </c>
    </row>
    <row r="18" spans="1:35" x14ac:dyDescent="0.3">
      <c r="A18" s="26" t="s">
        <v>76</v>
      </c>
      <c r="B18" s="26" t="s">
        <v>77</v>
      </c>
      <c r="C18" s="26" t="s">
        <v>22</v>
      </c>
      <c r="D18" s="1"/>
      <c r="E18" s="14"/>
      <c r="F18" s="15"/>
      <c r="G18" s="28" t="s">
        <v>19</v>
      </c>
      <c r="H18" s="17"/>
      <c r="I18" s="28" t="s">
        <v>19</v>
      </c>
      <c r="J18" s="1"/>
      <c r="K18" s="14"/>
      <c r="L18" s="15"/>
      <c r="M18" s="28" t="s">
        <v>19</v>
      </c>
      <c r="N18" s="17"/>
      <c r="O18" s="28" t="s">
        <v>19</v>
      </c>
      <c r="P18">
        <v>4</v>
      </c>
      <c r="S18" s="3" t="s">
        <v>78</v>
      </c>
      <c r="T18">
        <v>16</v>
      </c>
      <c r="U18">
        <v>48</v>
      </c>
      <c r="W18">
        <v>18</v>
      </c>
      <c r="X18">
        <v>14</v>
      </c>
      <c r="Y18">
        <v>14</v>
      </c>
      <c r="Z18">
        <v>8</v>
      </c>
      <c r="AA18">
        <v>36</v>
      </c>
      <c r="AB18">
        <v>22</v>
      </c>
      <c r="AC18">
        <v>104</v>
      </c>
      <c r="AD18">
        <v>22</v>
      </c>
      <c r="AF18">
        <v>18</v>
      </c>
      <c r="AG18">
        <v>34</v>
      </c>
      <c r="AH18">
        <v>354</v>
      </c>
      <c r="AI18" s="7">
        <f>GETPIVOTDATA("Sum of Oct",$S$7)/(AF27*AG27)</f>
        <v>10.727272727272727</v>
      </c>
    </row>
    <row r="19" spans="1:35" x14ac:dyDescent="0.3">
      <c r="A19" s="5" t="s">
        <v>79</v>
      </c>
      <c r="B19" s="5" t="s">
        <v>80</v>
      </c>
      <c r="C19" s="5" t="s">
        <v>43</v>
      </c>
      <c r="D19" s="28" t="s">
        <v>19</v>
      </c>
      <c r="E19" s="14"/>
      <c r="F19" s="15"/>
      <c r="G19" s="28" t="s">
        <v>19</v>
      </c>
      <c r="H19" s="17"/>
      <c r="I19" s="18"/>
      <c r="J19" s="28" t="s">
        <v>19</v>
      </c>
      <c r="K19" s="14"/>
      <c r="L19" s="15"/>
      <c r="M19" s="28" t="s">
        <v>19</v>
      </c>
      <c r="N19" s="17"/>
      <c r="O19" s="18"/>
      <c r="P19">
        <v>4</v>
      </c>
      <c r="S19" s="3" t="s">
        <v>81</v>
      </c>
      <c r="T19">
        <v>56</v>
      </c>
      <c r="U19">
        <v>68</v>
      </c>
      <c r="Y19">
        <v>44</v>
      </c>
      <c r="Z19">
        <v>10</v>
      </c>
      <c r="AA19">
        <v>36</v>
      </c>
      <c r="AB19">
        <v>6</v>
      </c>
      <c r="AC19">
        <v>70</v>
      </c>
      <c r="AD19">
        <v>8</v>
      </c>
      <c r="AE19">
        <v>16</v>
      </c>
      <c r="AF19">
        <v>68</v>
      </c>
      <c r="AG19">
        <v>60</v>
      </c>
      <c r="AH19">
        <v>442</v>
      </c>
      <c r="AI19" s="7">
        <f>GETPIVOTDATA("Sum of Nov",$S$7)/(AF27*AG27)</f>
        <v>13.393939393939394</v>
      </c>
    </row>
    <row r="20" spans="1:35" x14ac:dyDescent="0.3">
      <c r="A20" s="5" t="s">
        <v>82</v>
      </c>
      <c r="B20" s="5" t="s">
        <v>83</v>
      </c>
      <c r="C20" s="5" t="s">
        <v>45</v>
      </c>
      <c r="D20" s="28" t="s">
        <v>19</v>
      </c>
      <c r="E20" s="14"/>
      <c r="F20" s="15"/>
      <c r="G20" s="28" t="s">
        <v>19</v>
      </c>
      <c r="H20" s="17"/>
      <c r="I20" s="18"/>
      <c r="J20" s="28" t="s">
        <v>19</v>
      </c>
      <c r="K20" s="14"/>
      <c r="L20" s="15"/>
      <c r="M20" s="28" t="s">
        <v>19</v>
      </c>
      <c r="N20" s="17"/>
      <c r="O20" s="18"/>
      <c r="P20">
        <v>4</v>
      </c>
      <c r="S20" s="3" t="s">
        <v>84</v>
      </c>
      <c r="T20">
        <v>4</v>
      </c>
      <c r="U20">
        <v>14</v>
      </c>
      <c r="V20">
        <v>4</v>
      </c>
      <c r="Y20">
        <v>14</v>
      </c>
      <c r="Z20">
        <v>2</v>
      </c>
      <c r="AB20">
        <v>12</v>
      </c>
      <c r="AC20">
        <v>30</v>
      </c>
      <c r="AD20">
        <v>8</v>
      </c>
      <c r="AE20">
        <v>6</v>
      </c>
      <c r="AF20">
        <v>8</v>
      </c>
      <c r="AH20">
        <v>102</v>
      </c>
      <c r="AI20" s="7">
        <f>GETPIVOTDATA("Sum of Dec",$S$7)/(AF27*AG27)</f>
        <v>3.0909090909090908</v>
      </c>
    </row>
    <row r="21" spans="1:35" x14ac:dyDescent="0.3">
      <c r="A21" s="5" t="s">
        <v>85</v>
      </c>
      <c r="B21" s="5" t="s">
        <v>86</v>
      </c>
      <c r="C21" s="5" t="s">
        <v>25</v>
      </c>
      <c r="D21" s="28" t="s">
        <v>19</v>
      </c>
      <c r="E21" s="14"/>
      <c r="F21" s="28" t="s">
        <v>19</v>
      </c>
      <c r="G21" s="16"/>
      <c r="H21" s="17"/>
      <c r="I21" s="28" t="s">
        <v>19</v>
      </c>
      <c r="J21" s="28" t="s">
        <v>19</v>
      </c>
      <c r="K21" s="14"/>
      <c r="L21" s="28" t="s">
        <v>19</v>
      </c>
      <c r="M21" s="16"/>
      <c r="N21" s="17"/>
      <c r="O21" s="28" t="s">
        <v>19</v>
      </c>
      <c r="P21">
        <v>4</v>
      </c>
      <c r="S21" s="3" t="s">
        <v>87</v>
      </c>
      <c r="T21">
        <f>SUM(T9:T20)</f>
        <v>412</v>
      </c>
      <c r="U21">
        <f>SUM(U9:U20)</f>
        <v>568</v>
      </c>
      <c r="V21">
        <f t="shared" ref="V21:AH21" si="0">SUM(V9:V20)</f>
        <v>20</v>
      </c>
      <c r="W21">
        <f t="shared" si="0"/>
        <v>36</v>
      </c>
      <c r="X21">
        <f t="shared" si="0"/>
        <v>28</v>
      </c>
      <c r="Y21">
        <f t="shared" si="0"/>
        <v>432</v>
      </c>
      <c r="Z21">
        <f t="shared" si="0"/>
        <v>182</v>
      </c>
      <c r="AA21">
        <f t="shared" si="0"/>
        <v>442</v>
      </c>
      <c r="AB21">
        <f t="shared" si="0"/>
        <v>190</v>
      </c>
      <c r="AC21">
        <f t="shared" si="0"/>
        <v>832</v>
      </c>
      <c r="AD21">
        <f t="shared" si="0"/>
        <v>296</v>
      </c>
      <c r="AE21">
        <f t="shared" si="0"/>
        <v>158</v>
      </c>
      <c r="AF21">
        <f t="shared" si="0"/>
        <v>622</v>
      </c>
      <c r="AG21">
        <f t="shared" si="0"/>
        <v>490</v>
      </c>
      <c r="AH21">
        <f t="shared" si="0"/>
        <v>4708</v>
      </c>
    </row>
    <row r="22" spans="1:35" x14ac:dyDescent="0.3">
      <c r="A22" s="26" t="s">
        <v>88</v>
      </c>
      <c r="B22" s="26" t="s">
        <v>89</v>
      </c>
      <c r="C22" s="27" t="s">
        <v>31</v>
      </c>
      <c r="D22" s="1"/>
      <c r="E22" s="28" t="s">
        <v>19</v>
      </c>
      <c r="F22" s="22"/>
      <c r="G22" s="28" t="s">
        <v>19</v>
      </c>
      <c r="H22" s="24"/>
      <c r="I22" s="25"/>
      <c r="J22" s="1"/>
      <c r="K22" s="28" t="s">
        <v>19</v>
      </c>
      <c r="L22" s="22"/>
      <c r="M22" s="28" t="s">
        <v>19</v>
      </c>
      <c r="N22" s="24"/>
      <c r="O22" s="25"/>
      <c r="P22">
        <v>4</v>
      </c>
      <c r="S22" s="3"/>
    </row>
    <row r="23" spans="1:35" x14ac:dyDescent="0.3">
      <c r="A23" s="5" t="s">
        <v>90</v>
      </c>
      <c r="B23" s="5" t="s">
        <v>91</v>
      </c>
      <c r="C23" s="5" t="s">
        <v>45</v>
      </c>
      <c r="D23" s="28" t="s">
        <v>19</v>
      </c>
      <c r="E23" s="14"/>
      <c r="F23" s="15"/>
      <c r="G23" s="28" t="s">
        <v>19</v>
      </c>
      <c r="H23" s="17"/>
      <c r="I23" s="18"/>
      <c r="J23" s="28" t="s">
        <v>19</v>
      </c>
      <c r="K23" s="14"/>
      <c r="L23" s="15"/>
      <c r="M23" s="28" t="s">
        <v>19</v>
      </c>
      <c r="N23" s="17"/>
      <c r="O23" s="18"/>
      <c r="P23">
        <v>4</v>
      </c>
    </row>
    <row r="24" spans="1:35" x14ac:dyDescent="0.3">
      <c r="A24" s="5" t="s">
        <v>92</v>
      </c>
      <c r="B24" s="5" t="s">
        <v>93</v>
      </c>
      <c r="C24" s="5" t="s">
        <v>18</v>
      </c>
      <c r="D24" s="28" t="s">
        <v>19</v>
      </c>
      <c r="E24" s="14"/>
      <c r="F24" s="15"/>
      <c r="G24" s="16"/>
      <c r="H24" s="28" t="s">
        <v>19</v>
      </c>
      <c r="I24" s="18"/>
      <c r="J24" s="28" t="s">
        <v>19</v>
      </c>
      <c r="K24" s="14"/>
      <c r="L24" s="15"/>
      <c r="M24" s="16"/>
      <c r="N24" s="28" t="s">
        <v>19</v>
      </c>
      <c r="O24" s="18"/>
      <c r="P24">
        <v>4</v>
      </c>
    </row>
    <row r="25" spans="1:35" ht="18" x14ac:dyDescent="0.35">
      <c r="A25" s="26" t="s">
        <v>94</v>
      </c>
      <c r="B25" s="26" t="s">
        <v>95</v>
      </c>
      <c r="C25" s="26" t="s">
        <v>39</v>
      </c>
      <c r="D25" s="19"/>
      <c r="E25" s="14"/>
      <c r="F25" s="15"/>
      <c r="G25" s="28" t="s">
        <v>19</v>
      </c>
      <c r="H25" s="17"/>
      <c r="I25" s="28" t="s">
        <v>19</v>
      </c>
      <c r="J25" s="1"/>
      <c r="K25" s="14"/>
      <c r="L25" s="15"/>
      <c r="M25" s="28" t="s">
        <v>19</v>
      </c>
      <c r="N25" s="17"/>
      <c r="O25" s="28" t="s">
        <v>19</v>
      </c>
      <c r="P25">
        <v>4</v>
      </c>
      <c r="AF25" s="29" t="s">
        <v>96</v>
      </c>
      <c r="AG25" s="30"/>
    </row>
    <row r="26" spans="1:35" ht="18" x14ac:dyDescent="0.35">
      <c r="A26" s="5" t="s">
        <v>97</v>
      </c>
      <c r="B26" s="5" t="s">
        <v>98</v>
      </c>
      <c r="C26" s="5" t="s">
        <v>18</v>
      </c>
      <c r="D26" s="19"/>
      <c r="E26" s="14"/>
      <c r="F26" s="15"/>
      <c r="G26" s="16"/>
      <c r="H26" s="28" t="s">
        <v>19</v>
      </c>
      <c r="I26" s="18"/>
      <c r="J26" s="1"/>
      <c r="K26" s="14"/>
      <c r="L26" s="15"/>
      <c r="M26" s="16"/>
      <c r="N26" s="28" t="s">
        <v>19</v>
      </c>
      <c r="O26" s="18"/>
      <c r="P26">
        <v>2</v>
      </c>
      <c r="AD26" t="s">
        <v>99</v>
      </c>
      <c r="AF26" s="8" t="s">
        <v>100</v>
      </c>
      <c r="AG26" s="9" t="s">
        <v>101</v>
      </c>
    </row>
    <row r="27" spans="1:35" ht="18" x14ac:dyDescent="0.35">
      <c r="A27" s="5" t="s">
        <v>102</v>
      </c>
      <c r="B27" s="5" t="s">
        <v>103</v>
      </c>
      <c r="C27" s="5" t="s">
        <v>44</v>
      </c>
      <c r="D27" s="28" t="s">
        <v>19</v>
      </c>
      <c r="E27" s="14"/>
      <c r="F27" s="15"/>
      <c r="G27" s="28" t="s">
        <v>19</v>
      </c>
      <c r="H27" s="17"/>
      <c r="I27" s="18"/>
      <c r="J27" s="28" t="s">
        <v>19</v>
      </c>
      <c r="K27" s="14"/>
      <c r="L27" s="15"/>
      <c r="M27" s="28" t="s">
        <v>19</v>
      </c>
      <c r="N27" s="17"/>
      <c r="O27" s="18"/>
      <c r="P27">
        <v>4</v>
      </c>
      <c r="S27" s="4" t="s">
        <v>2</v>
      </c>
      <c r="T27" s="4" t="s">
        <v>104</v>
      </c>
      <c r="U27" s="4" t="s">
        <v>105</v>
      </c>
      <c r="V27" s="4" t="s">
        <v>106</v>
      </c>
      <c r="W27" s="4" t="s">
        <v>107</v>
      </c>
      <c r="X27" s="4" t="s">
        <v>108</v>
      </c>
      <c r="Y27" s="4" t="s">
        <v>109</v>
      </c>
      <c r="Z27" s="4" t="s">
        <v>110</v>
      </c>
      <c r="AD27" t="s">
        <v>111</v>
      </c>
      <c r="AF27" s="10">
        <v>1.5</v>
      </c>
      <c r="AG27" s="11">
        <v>22</v>
      </c>
    </row>
    <row r="28" spans="1:35" x14ac:dyDescent="0.3">
      <c r="A28" s="5" t="s">
        <v>112</v>
      </c>
      <c r="B28" s="5" t="s">
        <v>113</v>
      </c>
      <c r="C28" s="5" t="s">
        <v>44</v>
      </c>
      <c r="D28" s="1"/>
      <c r="E28" s="28" t="s">
        <v>19</v>
      </c>
      <c r="F28" s="15"/>
      <c r="G28" s="16"/>
      <c r="H28" s="28" t="s">
        <v>19</v>
      </c>
      <c r="I28" s="18"/>
      <c r="J28" s="1"/>
      <c r="K28" s="28" t="s">
        <v>19</v>
      </c>
      <c r="L28" s="15"/>
      <c r="M28" s="16"/>
      <c r="N28" s="28" t="s">
        <v>19</v>
      </c>
      <c r="O28" s="18"/>
      <c r="P28">
        <v>4</v>
      </c>
      <c r="S28" s="5" t="s">
        <v>39</v>
      </c>
      <c r="T28" s="5">
        <v>1.25</v>
      </c>
      <c r="U28" s="5">
        <f>AF27</f>
        <v>1.5</v>
      </c>
      <c r="V28" s="5">
        <f>U28*T28</f>
        <v>1.875</v>
      </c>
      <c r="W28" s="5">
        <v>220</v>
      </c>
      <c r="X28" s="5">
        <f>W28*V28</f>
        <v>412.5</v>
      </c>
      <c r="Y28" s="5">
        <f>T21</f>
        <v>412</v>
      </c>
      <c r="Z28" s="5">
        <f>Y28-X28</f>
        <v>-0.5</v>
      </c>
      <c r="AD28">
        <f>V42*(W41/12)</f>
        <v>394.9</v>
      </c>
    </row>
    <row r="29" spans="1:35" x14ac:dyDescent="0.3">
      <c r="A29" s="5" t="s">
        <v>114</v>
      </c>
      <c r="B29" s="5" t="s">
        <v>115</v>
      </c>
      <c r="C29" s="5" t="s">
        <v>34</v>
      </c>
      <c r="D29" s="28" t="s">
        <v>19</v>
      </c>
      <c r="E29" s="14"/>
      <c r="F29" s="15"/>
      <c r="G29" s="28" t="s">
        <v>19</v>
      </c>
      <c r="H29" s="17"/>
      <c r="I29" s="18"/>
      <c r="J29" s="28" t="s">
        <v>19</v>
      </c>
      <c r="K29" s="14"/>
      <c r="L29" s="15"/>
      <c r="M29" s="28" t="s">
        <v>19</v>
      </c>
      <c r="N29" s="17"/>
      <c r="O29" s="18"/>
      <c r="P29">
        <v>4</v>
      </c>
      <c r="S29" s="5" t="s">
        <v>22</v>
      </c>
      <c r="T29" s="5">
        <v>1.72</v>
      </c>
      <c r="U29" s="5">
        <f>AF27</f>
        <v>1.5</v>
      </c>
      <c r="V29" s="5">
        <f t="shared" ref="V29:V41" si="1">U29*T29</f>
        <v>2.58</v>
      </c>
      <c r="W29" s="5">
        <v>220</v>
      </c>
      <c r="X29" s="5">
        <f t="shared" ref="X29:X41" si="2">W29*V29</f>
        <v>567.6</v>
      </c>
      <c r="Y29" s="5">
        <f>U21</f>
        <v>568</v>
      </c>
      <c r="Z29" s="5">
        <f t="shared" ref="Z29:Z41" si="3">Y29-X29</f>
        <v>0.39999999999997726</v>
      </c>
    </row>
    <row r="30" spans="1:35" x14ac:dyDescent="0.3">
      <c r="A30" s="5" t="s">
        <v>116</v>
      </c>
      <c r="B30" s="5" t="s">
        <v>117</v>
      </c>
      <c r="C30" s="5" t="s">
        <v>28</v>
      </c>
      <c r="D30" s="28" t="s">
        <v>19</v>
      </c>
      <c r="E30" s="14"/>
      <c r="F30" s="15"/>
      <c r="G30" s="16"/>
      <c r="H30" s="28" t="s">
        <v>19</v>
      </c>
      <c r="I30" s="18"/>
      <c r="J30" s="28" t="s">
        <v>19</v>
      </c>
      <c r="K30" s="14"/>
      <c r="L30" s="15"/>
      <c r="M30" s="16"/>
      <c r="N30" s="28" t="s">
        <v>19</v>
      </c>
      <c r="O30" s="18"/>
      <c r="P30">
        <v>4</v>
      </c>
      <c r="S30" s="5" t="s">
        <v>40</v>
      </c>
      <c r="T30" s="5">
        <v>0.05</v>
      </c>
      <c r="U30" s="5">
        <f>AF27</f>
        <v>1.5</v>
      </c>
      <c r="V30" s="5">
        <f t="shared" si="1"/>
        <v>7.5000000000000011E-2</v>
      </c>
      <c r="W30" s="5">
        <v>220</v>
      </c>
      <c r="X30" s="5">
        <f t="shared" si="2"/>
        <v>16.500000000000004</v>
      </c>
      <c r="Y30" s="5">
        <f>V21</f>
        <v>20</v>
      </c>
      <c r="Z30" s="5">
        <f t="shared" si="3"/>
        <v>3.4999999999999964</v>
      </c>
    </row>
    <row r="31" spans="1:35" x14ac:dyDescent="0.3">
      <c r="A31" s="27" t="s">
        <v>118</v>
      </c>
      <c r="B31" s="27" t="s">
        <v>119</v>
      </c>
      <c r="C31" s="27" t="s">
        <v>25</v>
      </c>
      <c r="D31" s="28" t="s">
        <v>19</v>
      </c>
      <c r="E31" s="28" t="s">
        <v>19</v>
      </c>
      <c r="F31" s="28" t="s">
        <v>19</v>
      </c>
      <c r="G31" s="23"/>
      <c r="H31" s="28" t="s">
        <v>19</v>
      </c>
      <c r="I31" s="25"/>
      <c r="J31" s="28" t="s">
        <v>19</v>
      </c>
      <c r="K31" s="28" t="s">
        <v>19</v>
      </c>
      <c r="L31" s="28" t="s">
        <v>19</v>
      </c>
      <c r="M31" s="23"/>
      <c r="N31" s="28" t="s">
        <v>19</v>
      </c>
      <c r="O31" s="25"/>
      <c r="P31" s="13">
        <v>6</v>
      </c>
      <c r="S31" s="5" t="s">
        <v>41</v>
      </c>
      <c r="T31" s="5">
        <v>0.1</v>
      </c>
      <c r="U31" s="5">
        <f>AF27</f>
        <v>1.5</v>
      </c>
      <c r="V31" s="5">
        <f t="shared" si="1"/>
        <v>0.15000000000000002</v>
      </c>
      <c r="W31" s="5">
        <v>220</v>
      </c>
      <c r="X31" s="5">
        <f t="shared" si="2"/>
        <v>33.000000000000007</v>
      </c>
      <c r="Y31" s="5">
        <f>W21</f>
        <v>36</v>
      </c>
      <c r="Z31" s="5">
        <f t="shared" si="3"/>
        <v>2.9999999999999929</v>
      </c>
    </row>
    <row r="32" spans="1:35" x14ac:dyDescent="0.3">
      <c r="A32" s="5" t="s">
        <v>120</v>
      </c>
      <c r="B32" s="5" t="s">
        <v>121</v>
      </c>
      <c r="C32" s="5" t="s">
        <v>43</v>
      </c>
      <c r="D32" s="1"/>
      <c r="E32" s="28" t="s">
        <v>19</v>
      </c>
      <c r="F32" s="15"/>
      <c r="G32" s="16"/>
      <c r="H32" s="28" t="s">
        <v>19</v>
      </c>
      <c r="I32" s="18"/>
      <c r="J32" s="1"/>
      <c r="K32" s="28" t="s">
        <v>19</v>
      </c>
      <c r="L32" s="15"/>
      <c r="M32" s="16"/>
      <c r="N32" s="28" t="s">
        <v>19</v>
      </c>
      <c r="O32" s="18"/>
      <c r="P32">
        <v>4</v>
      </c>
      <c r="S32" s="5" t="s">
        <v>42</v>
      </c>
      <c r="T32" s="5">
        <v>0.1</v>
      </c>
      <c r="U32" s="5">
        <f>AF27</f>
        <v>1.5</v>
      </c>
      <c r="V32" s="5">
        <f t="shared" si="1"/>
        <v>0.15000000000000002</v>
      </c>
      <c r="W32" s="5">
        <v>220</v>
      </c>
      <c r="X32" s="5">
        <f t="shared" si="2"/>
        <v>33.000000000000007</v>
      </c>
      <c r="Y32" s="5">
        <f>X21</f>
        <v>28</v>
      </c>
      <c r="Z32" s="5">
        <f t="shared" si="3"/>
        <v>-5.0000000000000071</v>
      </c>
    </row>
    <row r="33" spans="1:26" x14ac:dyDescent="0.3">
      <c r="A33" s="5" t="s">
        <v>122</v>
      </c>
      <c r="B33" s="5" t="s">
        <v>123</v>
      </c>
      <c r="C33" s="5" t="s">
        <v>18</v>
      </c>
      <c r="D33" s="28" t="s">
        <v>19</v>
      </c>
      <c r="E33" s="14"/>
      <c r="F33" s="15"/>
      <c r="G33" s="28" t="s">
        <v>19</v>
      </c>
      <c r="H33" s="17"/>
      <c r="I33" s="18"/>
      <c r="J33" s="28" t="s">
        <v>19</v>
      </c>
      <c r="K33" s="14"/>
      <c r="L33" s="15"/>
      <c r="M33" s="28" t="s">
        <v>19</v>
      </c>
      <c r="N33" s="17"/>
      <c r="O33" s="18"/>
      <c r="P33">
        <v>4</v>
      </c>
      <c r="S33" s="5" t="s">
        <v>43</v>
      </c>
      <c r="T33" s="5">
        <v>1.3</v>
      </c>
      <c r="U33" s="5">
        <f>AF27</f>
        <v>1.5</v>
      </c>
      <c r="V33" s="5">
        <f t="shared" si="1"/>
        <v>1.9500000000000002</v>
      </c>
      <c r="W33" s="5">
        <v>220</v>
      </c>
      <c r="X33" s="5">
        <f t="shared" si="2"/>
        <v>429.00000000000006</v>
      </c>
      <c r="Y33" s="5">
        <f>Y21</f>
        <v>432</v>
      </c>
      <c r="Z33" s="5">
        <f t="shared" si="3"/>
        <v>2.9999999999999432</v>
      </c>
    </row>
    <row r="34" spans="1:26" x14ac:dyDescent="0.3">
      <c r="A34" s="5" t="s">
        <v>124</v>
      </c>
      <c r="B34" s="5" t="s">
        <v>125</v>
      </c>
      <c r="C34" s="5" t="s">
        <v>43</v>
      </c>
      <c r="D34" s="28" t="s">
        <v>19</v>
      </c>
      <c r="E34" s="14"/>
      <c r="F34" s="28" t="s">
        <v>19</v>
      </c>
      <c r="G34" s="16"/>
      <c r="H34" s="17"/>
      <c r="I34" s="18"/>
      <c r="J34" s="28" t="s">
        <v>19</v>
      </c>
      <c r="K34" s="14"/>
      <c r="L34" s="28" t="s">
        <v>19</v>
      </c>
      <c r="M34" s="16"/>
      <c r="N34" s="17"/>
      <c r="O34" s="18"/>
      <c r="P34">
        <v>4</v>
      </c>
      <c r="S34" s="5" t="s">
        <v>44</v>
      </c>
      <c r="T34" s="5">
        <v>0.6</v>
      </c>
      <c r="U34" s="5">
        <f>AF27</f>
        <v>1.5</v>
      </c>
      <c r="V34" s="5">
        <f t="shared" si="1"/>
        <v>0.89999999999999991</v>
      </c>
      <c r="W34" s="5">
        <v>220</v>
      </c>
      <c r="X34" s="5">
        <f t="shared" si="2"/>
        <v>197.99999999999997</v>
      </c>
      <c r="Y34" s="5">
        <f>Z21</f>
        <v>182</v>
      </c>
      <c r="Z34" s="5">
        <f t="shared" si="3"/>
        <v>-15.999999999999972</v>
      </c>
    </row>
    <row r="35" spans="1:26" x14ac:dyDescent="0.3">
      <c r="A35" s="5" t="s">
        <v>126</v>
      </c>
      <c r="B35" s="5" t="s">
        <v>127</v>
      </c>
      <c r="C35" s="5" t="s">
        <v>28</v>
      </c>
      <c r="D35" s="28" t="s">
        <v>19</v>
      </c>
      <c r="E35" s="14"/>
      <c r="F35" s="15"/>
      <c r="G35" s="28" t="s">
        <v>19</v>
      </c>
      <c r="H35" s="17"/>
      <c r="I35" s="18"/>
      <c r="J35" s="28" t="s">
        <v>19</v>
      </c>
      <c r="K35" s="14"/>
      <c r="L35" s="15"/>
      <c r="M35" s="28" t="s">
        <v>19</v>
      </c>
      <c r="N35" s="17"/>
      <c r="O35" s="18"/>
      <c r="P35">
        <v>4</v>
      </c>
      <c r="S35" s="5" t="s">
        <v>31</v>
      </c>
      <c r="T35" s="5">
        <v>1.34</v>
      </c>
      <c r="U35" s="5">
        <f>AF27</f>
        <v>1.5</v>
      </c>
      <c r="V35" s="5">
        <f t="shared" si="1"/>
        <v>2.0100000000000002</v>
      </c>
      <c r="W35" s="5">
        <v>220</v>
      </c>
      <c r="X35" s="5">
        <f t="shared" si="2"/>
        <v>442.20000000000005</v>
      </c>
      <c r="Y35" s="5">
        <f>AA21</f>
        <v>442</v>
      </c>
      <c r="Z35" s="5">
        <f t="shared" si="3"/>
        <v>-0.20000000000004547</v>
      </c>
    </row>
    <row r="36" spans="1:26" x14ac:dyDescent="0.3">
      <c r="A36" s="5" t="s">
        <v>128</v>
      </c>
      <c r="B36" s="5" t="s">
        <v>129</v>
      </c>
      <c r="C36" s="5" t="s">
        <v>18</v>
      </c>
      <c r="D36" s="1"/>
      <c r="E36" s="28" t="s">
        <v>19</v>
      </c>
      <c r="F36" s="15"/>
      <c r="G36" s="16"/>
      <c r="H36" s="17"/>
      <c r="I36" s="28" t="s">
        <v>19</v>
      </c>
      <c r="J36" s="1"/>
      <c r="K36" s="28" t="s">
        <v>19</v>
      </c>
      <c r="L36" s="15"/>
      <c r="M36" s="16"/>
      <c r="N36" s="17"/>
      <c r="O36" s="28" t="s">
        <v>19</v>
      </c>
      <c r="P36">
        <v>4</v>
      </c>
      <c r="S36" s="5" t="s">
        <v>18</v>
      </c>
      <c r="T36" s="5">
        <v>0.6</v>
      </c>
      <c r="U36" s="5">
        <f>AF27</f>
        <v>1.5</v>
      </c>
      <c r="V36" s="5">
        <f t="shared" si="1"/>
        <v>0.89999999999999991</v>
      </c>
      <c r="W36" s="5">
        <v>220</v>
      </c>
      <c r="X36" s="5">
        <f t="shared" si="2"/>
        <v>197.99999999999997</v>
      </c>
      <c r="Y36" s="5">
        <f>AB21</f>
        <v>190</v>
      </c>
      <c r="Z36" s="5">
        <f t="shared" si="3"/>
        <v>-7.9999999999999716</v>
      </c>
    </row>
    <row r="37" spans="1:26" x14ac:dyDescent="0.3">
      <c r="A37" s="26" t="s">
        <v>130</v>
      </c>
      <c r="B37" s="26" t="s">
        <v>131</v>
      </c>
      <c r="C37" s="27" t="s">
        <v>31</v>
      </c>
      <c r="D37" s="19"/>
      <c r="E37" s="28" t="s">
        <v>19</v>
      </c>
      <c r="F37" s="22"/>
      <c r="G37" s="28" t="s">
        <v>19</v>
      </c>
      <c r="H37" s="24"/>
      <c r="I37" s="25"/>
      <c r="J37" s="1"/>
      <c r="K37" s="28" t="s">
        <v>19</v>
      </c>
      <c r="L37" s="22"/>
      <c r="M37" s="28" t="s">
        <v>19</v>
      </c>
      <c r="N37" s="24"/>
      <c r="O37" s="25"/>
      <c r="P37">
        <v>4</v>
      </c>
      <c r="S37" s="5" t="s">
        <v>45</v>
      </c>
      <c r="T37" s="5">
        <v>2.52</v>
      </c>
      <c r="U37" s="5">
        <f>AF27</f>
        <v>1.5</v>
      </c>
      <c r="V37" s="5">
        <f t="shared" si="1"/>
        <v>3.7800000000000002</v>
      </c>
      <c r="W37" s="5">
        <v>220</v>
      </c>
      <c r="X37" s="5">
        <f t="shared" si="2"/>
        <v>831.6</v>
      </c>
      <c r="Y37" s="5">
        <f>AC21</f>
        <v>832</v>
      </c>
      <c r="Z37" s="5">
        <f t="shared" si="3"/>
        <v>0.39999999999997726</v>
      </c>
    </row>
    <row r="38" spans="1:26" x14ac:dyDescent="0.3">
      <c r="A38" s="5" t="s">
        <v>132</v>
      </c>
      <c r="B38" s="5" t="s">
        <v>133</v>
      </c>
      <c r="C38" s="5" t="s">
        <v>18</v>
      </c>
      <c r="D38" s="19"/>
      <c r="E38" s="14"/>
      <c r="F38" s="15"/>
      <c r="G38" s="28" t="s">
        <v>19</v>
      </c>
      <c r="H38" s="17"/>
      <c r="I38" s="28" t="s">
        <v>19</v>
      </c>
      <c r="J38" s="1"/>
      <c r="K38" s="14"/>
      <c r="L38" s="15"/>
      <c r="M38" s="28" t="s">
        <v>19</v>
      </c>
      <c r="N38" s="17"/>
      <c r="O38" s="28" t="s">
        <v>19</v>
      </c>
      <c r="P38">
        <v>4</v>
      </c>
      <c r="S38" s="5" t="s">
        <v>28</v>
      </c>
      <c r="T38" s="5">
        <v>0.9</v>
      </c>
      <c r="U38" s="5">
        <f>AF27</f>
        <v>1.5</v>
      </c>
      <c r="V38" s="5">
        <f t="shared" si="1"/>
        <v>1.35</v>
      </c>
      <c r="W38" s="5">
        <v>220</v>
      </c>
      <c r="X38" s="5">
        <f t="shared" si="2"/>
        <v>297</v>
      </c>
      <c r="Y38" s="5">
        <f>AD21</f>
        <v>296</v>
      </c>
      <c r="Z38" s="5">
        <f t="shared" si="3"/>
        <v>-1</v>
      </c>
    </row>
    <row r="39" spans="1:26" x14ac:dyDescent="0.3">
      <c r="A39" s="5" t="s">
        <v>134</v>
      </c>
      <c r="B39" s="5" t="s">
        <v>40</v>
      </c>
      <c r="C39" s="5" t="s">
        <v>40</v>
      </c>
      <c r="D39" s="19"/>
      <c r="E39" s="14"/>
      <c r="F39" s="28" t="s">
        <v>19</v>
      </c>
      <c r="G39" s="16"/>
      <c r="H39" s="17"/>
      <c r="I39" s="18"/>
      <c r="J39" s="1"/>
      <c r="K39" s="14"/>
      <c r="L39" s="28" t="s">
        <v>19</v>
      </c>
      <c r="M39" s="16"/>
      <c r="N39" s="17"/>
      <c r="O39" s="18"/>
      <c r="P39">
        <v>2</v>
      </c>
      <c r="S39" s="5" t="s">
        <v>46</v>
      </c>
      <c r="T39" s="5">
        <v>0.48</v>
      </c>
      <c r="U39" s="5">
        <f>AF27</f>
        <v>1.5</v>
      </c>
      <c r="V39" s="5">
        <f t="shared" si="1"/>
        <v>0.72</v>
      </c>
      <c r="W39" s="5">
        <v>220</v>
      </c>
      <c r="X39" s="5">
        <f t="shared" si="2"/>
        <v>158.4</v>
      </c>
      <c r="Y39" s="5">
        <f>AE21</f>
        <v>158</v>
      </c>
      <c r="Z39" s="5">
        <f t="shared" si="3"/>
        <v>-0.40000000000000568</v>
      </c>
    </row>
    <row r="40" spans="1:26" x14ac:dyDescent="0.3">
      <c r="A40" s="5" t="s">
        <v>135</v>
      </c>
      <c r="B40" s="5" t="s">
        <v>136</v>
      </c>
      <c r="C40" s="5" t="s">
        <v>28</v>
      </c>
      <c r="D40" s="28" t="s">
        <v>19</v>
      </c>
      <c r="E40" s="14"/>
      <c r="F40" s="28" t="s">
        <v>19</v>
      </c>
      <c r="G40" s="16"/>
      <c r="H40" s="17"/>
      <c r="I40" s="18"/>
      <c r="J40" s="28" t="s">
        <v>19</v>
      </c>
      <c r="K40" s="14"/>
      <c r="L40" s="28" t="s">
        <v>19</v>
      </c>
      <c r="M40" s="16"/>
      <c r="N40" s="17"/>
      <c r="O40" s="18"/>
      <c r="P40">
        <v>4</v>
      </c>
      <c r="S40" s="5" t="s">
        <v>25</v>
      </c>
      <c r="T40" s="5">
        <v>1.9</v>
      </c>
      <c r="U40" s="5">
        <f>AF27</f>
        <v>1.5</v>
      </c>
      <c r="V40" s="5">
        <f t="shared" si="1"/>
        <v>2.8499999999999996</v>
      </c>
      <c r="W40" s="5">
        <v>220</v>
      </c>
      <c r="X40" s="5">
        <f t="shared" si="2"/>
        <v>626.99999999999989</v>
      </c>
      <c r="Y40" s="5">
        <f>AF21</f>
        <v>622</v>
      </c>
      <c r="Z40" s="5">
        <f t="shared" si="3"/>
        <v>-4.9999999999998863</v>
      </c>
    </row>
    <row r="41" spans="1:26" x14ac:dyDescent="0.3">
      <c r="A41" s="5" t="s">
        <v>137</v>
      </c>
      <c r="B41" s="5" t="s">
        <v>138</v>
      </c>
      <c r="C41" s="5" t="s">
        <v>45</v>
      </c>
      <c r="D41" s="19"/>
      <c r="E41" s="28" t="s">
        <v>19</v>
      </c>
      <c r="F41" s="15"/>
      <c r="G41" s="16"/>
      <c r="H41" s="28" t="s">
        <v>19</v>
      </c>
      <c r="I41" s="18"/>
      <c r="J41" s="1"/>
      <c r="K41" s="28" t="s">
        <v>19</v>
      </c>
      <c r="L41" s="15"/>
      <c r="M41" s="16"/>
      <c r="N41" s="28" t="s">
        <v>19</v>
      </c>
      <c r="O41" s="18"/>
      <c r="P41">
        <v>4</v>
      </c>
      <c r="S41" s="5" t="s">
        <v>34</v>
      </c>
      <c r="T41" s="5">
        <v>1.5</v>
      </c>
      <c r="U41" s="5">
        <f>AF27</f>
        <v>1.5</v>
      </c>
      <c r="V41" s="5">
        <f t="shared" si="1"/>
        <v>2.25</v>
      </c>
      <c r="W41" s="5">
        <v>220</v>
      </c>
      <c r="X41" s="5">
        <f t="shared" si="2"/>
        <v>495</v>
      </c>
      <c r="Y41" s="5">
        <f>AG21</f>
        <v>490</v>
      </c>
      <c r="Z41" s="5">
        <f t="shared" si="3"/>
        <v>-5</v>
      </c>
    </row>
    <row r="42" spans="1:26" x14ac:dyDescent="0.3">
      <c r="A42" s="5" t="s">
        <v>139</v>
      </c>
      <c r="B42" s="5" t="s">
        <v>40</v>
      </c>
      <c r="C42" s="5" t="s">
        <v>40</v>
      </c>
      <c r="D42" s="19"/>
      <c r="E42" s="14"/>
      <c r="F42" s="28" t="s">
        <v>19</v>
      </c>
      <c r="G42" s="16"/>
      <c r="H42" s="17"/>
      <c r="I42" s="18"/>
      <c r="J42" s="1"/>
      <c r="K42" s="14"/>
      <c r="L42" s="28" t="s">
        <v>19</v>
      </c>
      <c r="M42" s="16"/>
      <c r="N42" s="17"/>
      <c r="O42" s="18"/>
      <c r="P42">
        <v>2</v>
      </c>
      <c r="S42" s="6" t="s">
        <v>99</v>
      </c>
      <c r="T42">
        <f>SUM(T28:T41)</f>
        <v>14.36</v>
      </c>
      <c r="U42">
        <f t="shared" ref="U42:Z42" si="4">SUM(U28:U41)</f>
        <v>21</v>
      </c>
      <c r="V42">
        <f t="shared" si="4"/>
        <v>21.54</v>
      </c>
      <c r="W42">
        <f t="shared" si="4"/>
        <v>3080</v>
      </c>
      <c r="X42">
        <f t="shared" si="4"/>
        <v>4738.8</v>
      </c>
      <c r="Y42">
        <f t="shared" si="4"/>
        <v>4708</v>
      </c>
      <c r="Z42">
        <f t="shared" si="4"/>
        <v>-30.8</v>
      </c>
    </row>
    <row r="43" spans="1:26" x14ac:dyDescent="0.3">
      <c r="A43" s="5" t="s">
        <v>140</v>
      </c>
      <c r="B43" s="5" t="s">
        <v>141</v>
      </c>
      <c r="C43" s="5" t="s">
        <v>43</v>
      </c>
      <c r="D43" s="28" t="s">
        <v>19</v>
      </c>
      <c r="E43" s="14"/>
      <c r="F43" s="15"/>
      <c r="G43" s="16"/>
      <c r="H43" s="28" t="s">
        <v>19</v>
      </c>
      <c r="I43" s="18"/>
      <c r="J43" s="28" t="s">
        <v>19</v>
      </c>
      <c r="K43" s="14"/>
      <c r="L43" s="15"/>
      <c r="M43" s="16"/>
      <c r="N43" s="28" t="s">
        <v>19</v>
      </c>
      <c r="O43" s="18"/>
      <c r="P43">
        <v>4</v>
      </c>
    </row>
    <row r="44" spans="1:26" x14ac:dyDescent="0.3">
      <c r="A44" s="5" t="s">
        <v>142</v>
      </c>
      <c r="B44" s="5" t="s">
        <v>143</v>
      </c>
      <c r="C44" s="5" t="s">
        <v>34</v>
      </c>
      <c r="D44" s="19"/>
      <c r="E44" s="14"/>
      <c r="F44" s="15"/>
      <c r="G44" s="28" t="s">
        <v>19</v>
      </c>
      <c r="H44" s="17"/>
      <c r="I44" s="18"/>
      <c r="J44" s="1"/>
      <c r="K44" s="14"/>
      <c r="L44" s="15"/>
      <c r="M44" s="28" t="s">
        <v>19</v>
      </c>
      <c r="N44" s="17"/>
      <c r="O44" s="18"/>
      <c r="P44">
        <v>2</v>
      </c>
    </row>
    <row r="45" spans="1:26" x14ac:dyDescent="0.3">
      <c r="A45" s="5" t="s">
        <v>144</v>
      </c>
      <c r="B45" s="5" t="s">
        <v>145</v>
      </c>
      <c r="C45" s="5" t="s">
        <v>34</v>
      </c>
      <c r="D45" s="19"/>
      <c r="E45" s="14"/>
      <c r="F45" s="28" t="s">
        <v>19</v>
      </c>
      <c r="G45" s="16"/>
      <c r="H45" s="17"/>
      <c r="I45" s="18"/>
      <c r="J45" s="1"/>
      <c r="K45" s="14"/>
      <c r="L45" s="28" t="s">
        <v>19</v>
      </c>
      <c r="M45" s="16"/>
      <c r="N45" s="17"/>
      <c r="O45" s="18"/>
      <c r="P45">
        <v>2</v>
      </c>
    </row>
    <row r="46" spans="1:26" x14ac:dyDescent="0.3">
      <c r="A46" s="5" t="s">
        <v>146</v>
      </c>
      <c r="B46" s="5" t="s">
        <v>147</v>
      </c>
      <c r="C46" s="5" t="s">
        <v>45</v>
      </c>
      <c r="D46" s="19"/>
      <c r="E46" s="28" t="s">
        <v>19</v>
      </c>
      <c r="F46" s="15"/>
      <c r="G46" s="16"/>
      <c r="H46" s="17"/>
      <c r="I46" s="28" t="s">
        <v>19</v>
      </c>
      <c r="J46" s="1"/>
      <c r="K46" s="28" t="s">
        <v>19</v>
      </c>
      <c r="L46" s="15"/>
      <c r="M46" s="16"/>
      <c r="N46" s="17"/>
      <c r="O46" s="28" t="s">
        <v>19</v>
      </c>
      <c r="P46">
        <v>4</v>
      </c>
    </row>
    <row r="47" spans="1:26" x14ac:dyDescent="0.3">
      <c r="A47" s="5" t="s">
        <v>148</v>
      </c>
      <c r="B47" s="5" t="s">
        <v>149</v>
      </c>
      <c r="C47" s="5" t="s">
        <v>25</v>
      </c>
      <c r="D47" s="19"/>
      <c r="E47" s="14"/>
      <c r="F47" s="15"/>
      <c r="G47" s="16"/>
      <c r="H47" s="17"/>
      <c r="I47" s="28" t="s">
        <v>19</v>
      </c>
      <c r="J47" s="1"/>
      <c r="K47" s="14"/>
      <c r="L47" s="15"/>
      <c r="M47" s="16"/>
      <c r="N47" s="17"/>
      <c r="O47" s="28" t="s">
        <v>19</v>
      </c>
      <c r="P47">
        <v>2</v>
      </c>
    </row>
    <row r="48" spans="1:26" x14ac:dyDescent="0.3">
      <c r="A48" s="5" t="s">
        <v>150</v>
      </c>
      <c r="B48" s="5" t="s">
        <v>151</v>
      </c>
      <c r="C48" s="5" t="s">
        <v>34</v>
      </c>
      <c r="D48" s="19"/>
      <c r="E48" s="14"/>
      <c r="F48" s="28" t="s">
        <v>19</v>
      </c>
      <c r="G48" s="16"/>
      <c r="H48" s="28" t="s">
        <v>19</v>
      </c>
      <c r="I48" s="18"/>
      <c r="J48" s="1"/>
      <c r="K48" s="14"/>
      <c r="L48" s="28" t="s">
        <v>19</v>
      </c>
      <c r="M48" s="16"/>
      <c r="N48" s="28" t="s">
        <v>19</v>
      </c>
      <c r="O48" s="18"/>
      <c r="P48">
        <v>4</v>
      </c>
    </row>
    <row r="49" spans="1:16" x14ac:dyDescent="0.3">
      <c r="A49" s="5" t="s">
        <v>152</v>
      </c>
      <c r="B49" s="5" t="s">
        <v>153</v>
      </c>
      <c r="C49" s="5" t="s">
        <v>34</v>
      </c>
      <c r="D49" s="19"/>
      <c r="E49" s="14"/>
      <c r="F49" s="15"/>
      <c r="G49" s="16"/>
      <c r="H49" s="28" t="s">
        <v>19</v>
      </c>
      <c r="I49" s="18"/>
      <c r="J49" s="1"/>
      <c r="K49" s="14"/>
      <c r="L49" s="15"/>
      <c r="M49" s="16"/>
      <c r="N49" s="28" t="s">
        <v>19</v>
      </c>
      <c r="O49" s="18"/>
      <c r="P49">
        <v>2</v>
      </c>
    </row>
    <row r="50" spans="1:16" x14ac:dyDescent="0.3">
      <c r="A50" s="5" t="s">
        <v>154</v>
      </c>
      <c r="B50" s="5" t="s">
        <v>155</v>
      </c>
      <c r="C50" s="5" t="s">
        <v>43</v>
      </c>
      <c r="D50" s="19"/>
      <c r="E50" s="14"/>
      <c r="F50" s="15"/>
      <c r="G50" s="16"/>
      <c r="H50" s="17"/>
      <c r="I50" s="28" t="s">
        <v>19</v>
      </c>
      <c r="J50" s="1"/>
      <c r="K50" s="14"/>
      <c r="L50" s="15"/>
      <c r="M50" s="16"/>
      <c r="N50" s="17"/>
      <c r="O50" s="28" t="s">
        <v>19</v>
      </c>
      <c r="P50">
        <v>2</v>
      </c>
    </row>
    <row r="51" spans="1:16" x14ac:dyDescent="0.3">
      <c r="A51" s="5" t="s">
        <v>156</v>
      </c>
      <c r="B51" s="5" t="s">
        <v>41</v>
      </c>
      <c r="C51" s="5" t="s">
        <v>41</v>
      </c>
      <c r="D51" s="1"/>
      <c r="E51" s="14"/>
      <c r="F51" s="15"/>
      <c r="G51" s="28" t="s">
        <v>19</v>
      </c>
      <c r="H51" s="17"/>
      <c r="I51" s="18"/>
      <c r="J51" s="1"/>
      <c r="K51" s="14"/>
      <c r="L51" s="15"/>
      <c r="M51" s="28" t="s">
        <v>19</v>
      </c>
      <c r="N51" s="17"/>
      <c r="O51" s="18"/>
      <c r="P51">
        <v>2</v>
      </c>
    </row>
    <row r="52" spans="1:16" x14ac:dyDescent="0.3">
      <c r="A52" s="26" t="s">
        <v>157</v>
      </c>
      <c r="B52" s="26" t="s">
        <v>158</v>
      </c>
      <c r="C52" s="26" t="s">
        <v>22</v>
      </c>
      <c r="D52" s="19"/>
      <c r="E52" s="14"/>
      <c r="F52" s="28" t="s">
        <v>19</v>
      </c>
      <c r="G52" s="16"/>
      <c r="H52" s="28" t="s">
        <v>19</v>
      </c>
      <c r="I52" s="28" t="s">
        <v>19</v>
      </c>
      <c r="J52" s="1"/>
      <c r="K52" s="14"/>
      <c r="L52" s="28" t="s">
        <v>19</v>
      </c>
      <c r="M52" s="16"/>
      <c r="N52" s="28" t="s">
        <v>19</v>
      </c>
      <c r="O52" s="28" t="s">
        <v>19</v>
      </c>
      <c r="P52">
        <v>6</v>
      </c>
    </row>
    <row r="53" spans="1:16" x14ac:dyDescent="0.3">
      <c r="A53" s="27" t="s">
        <v>159</v>
      </c>
      <c r="B53" s="27" t="s">
        <v>160</v>
      </c>
      <c r="C53" s="27" t="s">
        <v>18</v>
      </c>
      <c r="D53" s="1"/>
      <c r="E53" s="14"/>
      <c r="F53" s="15"/>
      <c r="G53" s="28" t="s">
        <v>19</v>
      </c>
      <c r="H53" s="17"/>
      <c r="I53" s="18"/>
      <c r="J53" s="1"/>
      <c r="K53" s="14"/>
      <c r="L53" s="15"/>
      <c r="M53" s="28" t="s">
        <v>19</v>
      </c>
      <c r="N53" s="17"/>
      <c r="O53" s="18"/>
      <c r="P53">
        <v>2</v>
      </c>
    </row>
    <row r="54" spans="1:16" x14ac:dyDescent="0.3">
      <c r="A54" s="5" t="s">
        <v>161</v>
      </c>
      <c r="B54" s="5" t="s">
        <v>42</v>
      </c>
      <c r="C54" s="5" t="s">
        <v>42</v>
      </c>
      <c r="D54" s="1"/>
      <c r="E54" s="14"/>
      <c r="F54" s="15"/>
      <c r="G54" s="28" t="s">
        <v>19</v>
      </c>
      <c r="H54" s="17"/>
      <c r="I54" s="18"/>
      <c r="J54" s="1"/>
      <c r="K54" s="14"/>
      <c r="L54" s="15"/>
      <c r="M54" s="28" t="s">
        <v>19</v>
      </c>
      <c r="N54" s="17"/>
      <c r="O54" s="18"/>
      <c r="P54">
        <v>2</v>
      </c>
    </row>
    <row r="55" spans="1:16" x14ac:dyDescent="0.3">
      <c r="A55" s="5" t="s">
        <v>162</v>
      </c>
      <c r="B55" s="5" t="s">
        <v>42</v>
      </c>
      <c r="C55" s="5" t="s">
        <v>42</v>
      </c>
      <c r="D55" s="19"/>
      <c r="E55" s="14"/>
      <c r="F55" s="15"/>
      <c r="G55" s="28" t="s">
        <v>19</v>
      </c>
      <c r="H55" s="17"/>
      <c r="I55" s="18"/>
      <c r="J55" s="1"/>
      <c r="K55" s="14"/>
      <c r="L55" s="15"/>
      <c r="M55" s="28" t="s">
        <v>19</v>
      </c>
      <c r="N55" s="17"/>
      <c r="O55" s="18"/>
      <c r="P55">
        <v>2</v>
      </c>
    </row>
    <row r="56" spans="1:16" x14ac:dyDescent="0.3">
      <c r="A56" s="5" t="s">
        <v>163</v>
      </c>
      <c r="B56" s="5" t="s">
        <v>164</v>
      </c>
      <c r="C56" s="5" t="s">
        <v>18</v>
      </c>
      <c r="D56" s="19"/>
      <c r="E56" s="28" t="s">
        <v>19</v>
      </c>
      <c r="F56" s="15"/>
      <c r="G56" s="16"/>
      <c r="H56" s="28" t="s">
        <v>19</v>
      </c>
      <c r="I56" s="18"/>
      <c r="J56" s="1"/>
      <c r="K56" s="28" t="s">
        <v>19</v>
      </c>
      <c r="L56" s="15"/>
      <c r="M56" s="16"/>
      <c r="N56" s="28" t="s">
        <v>19</v>
      </c>
      <c r="O56" s="18"/>
      <c r="P56">
        <v>4</v>
      </c>
    </row>
    <row r="57" spans="1:16" x14ac:dyDescent="0.3">
      <c r="A57" s="5" t="s">
        <v>165</v>
      </c>
      <c r="B57" s="5" t="s">
        <v>166</v>
      </c>
      <c r="C57" s="5" t="s">
        <v>45</v>
      </c>
      <c r="D57" s="28" t="s">
        <v>19</v>
      </c>
      <c r="E57" s="14"/>
      <c r="F57" s="15"/>
      <c r="G57" s="16"/>
      <c r="H57" s="28" t="s">
        <v>19</v>
      </c>
      <c r="I57" s="18"/>
      <c r="J57" s="28" t="s">
        <v>19</v>
      </c>
      <c r="K57" s="14"/>
      <c r="L57" s="15"/>
      <c r="M57" s="16"/>
      <c r="N57" s="28" t="s">
        <v>19</v>
      </c>
      <c r="O57" s="18"/>
      <c r="P57">
        <v>4</v>
      </c>
    </row>
    <row r="58" spans="1:16" x14ac:dyDescent="0.3">
      <c r="A58" s="4" t="s">
        <v>167</v>
      </c>
      <c r="B58" s="4" t="s">
        <v>168</v>
      </c>
      <c r="C58" s="4" t="s">
        <v>18</v>
      </c>
      <c r="D58" s="19"/>
      <c r="E58" s="14"/>
      <c r="F58" s="15"/>
      <c r="G58" s="28" t="s">
        <v>19</v>
      </c>
      <c r="H58" s="17"/>
      <c r="I58" s="18"/>
      <c r="J58" s="1"/>
      <c r="K58" s="14"/>
      <c r="L58" s="15"/>
      <c r="M58" s="16"/>
      <c r="N58" s="17"/>
      <c r="O58" s="18"/>
      <c r="P58">
        <v>1</v>
      </c>
    </row>
    <row r="59" spans="1:16" x14ac:dyDescent="0.3">
      <c r="A59" s="5" t="s">
        <v>169</v>
      </c>
      <c r="B59" s="5" t="s">
        <v>170</v>
      </c>
      <c r="C59" s="5" t="s">
        <v>18</v>
      </c>
      <c r="D59" s="28" t="s">
        <v>19</v>
      </c>
      <c r="E59" s="14"/>
      <c r="F59" s="15"/>
      <c r="G59" s="16"/>
      <c r="H59" s="28" t="s">
        <v>19</v>
      </c>
      <c r="I59" s="18"/>
      <c r="J59" s="28" t="s">
        <v>19</v>
      </c>
      <c r="K59" s="14"/>
      <c r="L59" s="15"/>
      <c r="M59" s="16"/>
      <c r="N59" s="28" t="s">
        <v>19</v>
      </c>
      <c r="O59" s="18"/>
      <c r="P59">
        <v>4</v>
      </c>
    </row>
    <row r="60" spans="1:16" x14ac:dyDescent="0.3">
      <c r="A60" s="26" t="s">
        <v>171</v>
      </c>
      <c r="B60" s="26" t="s">
        <v>172</v>
      </c>
      <c r="C60" s="27" t="s">
        <v>31</v>
      </c>
      <c r="D60" s="19"/>
      <c r="E60" s="28" t="s">
        <v>19</v>
      </c>
      <c r="F60" s="22"/>
      <c r="G60" s="23"/>
      <c r="H60" s="28" t="s">
        <v>19</v>
      </c>
      <c r="I60" s="25"/>
      <c r="J60" s="1"/>
      <c r="K60" s="28" t="s">
        <v>19</v>
      </c>
      <c r="L60" s="22"/>
      <c r="M60" s="23"/>
      <c r="N60" s="28" t="s">
        <v>19</v>
      </c>
      <c r="O60" s="25"/>
      <c r="P60">
        <v>4</v>
      </c>
    </row>
    <row r="61" spans="1:16" x14ac:dyDescent="0.3">
      <c r="A61" s="26" t="s">
        <v>173</v>
      </c>
      <c r="B61" s="26" t="s">
        <v>174</v>
      </c>
      <c r="C61" s="27" t="s">
        <v>31</v>
      </c>
      <c r="D61" s="19"/>
      <c r="E61" s="28" t="s">
        <v>19</v>
      </c>
      <c r="F61" s="22"/>
      <c r="G61" s="28" t="s">
        <v>19</v>
      </c>
      <c r="H61" s="24"/>
      <c r="I61" s="25"/>
      <c r="J61" s="1"/>
      <c r="K61" s="28" t="s">
        <v>19</v>
      </c>
      <c r="L61" s="22"/>
      <c r="M61" s="28" t="s">
        <v>19</v>
      </c>
      <c r="N61" s="24"/>
      <c r="O61" s="25"/>
      <c r="P61">
        <v>4</v>
      </c>
    </row>
    <row r="62" spans="1:16" x14ac:dyDescent="0.3">
      <c r="A62" s="5" t="s">
        <v>175</v>
      </c>
      <c r="B62" s="5" t="s">
        <v>176</v>
      </c>
      <c r="C62" s="5" t="s">
        <v>46</v>
      </c>
      <c r="D62" s="19"/>
      <c r="E62" s="28" t="s">
        <v>19</v>
      </c>
      <c r="F62" s="15"/>
      <c r="G62" s="16"/>
      <c r="H62" s="17"/>
      <c r="I62" s="18"/>
      <c r="J62" s="1"/>
      <c r="K62" s="14"/>
      <c r="L62" s="15"/>
      <c r="M62" s="16"/>
      <c r="N62" s="17"/>
      <c r="O62" s="18"/>
      <c r="P62">
        <v>2</v>
      </c>
    </row>
    <row r="63" spans="1:16" x14ac:dyDescent="0.3">
      <c r="A63" s="26" t="s">
        <v>177</v>
      </c>
      <c r="B63" s="26" t="s">
        <v>178</v>
      </c>
      <c r="C63" s="26" t="s">
        <v>39</v>
      </c>
      <c r="D63" s="19"/>
      <c r="E63" s="14"/>
      <c r="F63" s="28" t="s">
        <v>19</v>
      </c>
      <c r="G63" s="16"/>
      <c r="H63" s="28" t="s">
        <v>19</v>
      </c>
      <c r="I63" s="28" t="s">
        <v>19</v>
      </c>
      <c r="J63" s="1"/>
      <c r="K63" s="14"/>
      <c r="L63" s="28" t="s">
        <v>19</v>
      </c>
      <c r="M63" s="16"/>
      <c r="N63" s="28" t="s">
        <v>19</v>
      </c>
      <c r="O63" s="28" t="s">
        <v>19</v>
      </c>
      <c r="P63">
        <v>6</v>
      </c>
    </row>
    <row r="64" spans="1:16" x14ac:dyDescent="0.3">
      <c r="A64" s="5" t="s">
        <v>179</v>
      </c>
      <c r="B64" s="5" t="s">
        <v>180</v>
      </c>
      <c r="C64" s="5" t="s">
        <v>46</v>
      </c>
      <c r="D64" s="28" t="s">
        <v>19</v>
      </c>
      <c r="E64" s="14"/>
      <c r="F64" s="15"/>
      <c r="G64" s="16"/>
      <c r="H64" s="28" t="s">
        <v>19</v>
      </c>
      <c r="I64" s="18"/>
      <c r="J64" s="28" t="s">
        <v>19</v>
      </c>
      <c r="K64" s="14"/>
      <c r="L64" s="15"/>
      <c r="M64" s="16"/>
      <c r="N64" s="28" t="s">
        <v>19</v>
      </c>
      <c r="O64" s="18"/>
      <c r="P64">
        <v>4</v>
      </c>
    </row>
    <row r="65" spans="1:16" x14ac:dyDescent="0.3">
      <c r="A65" s="26" t="s">
        <v>181</v>
      </c>
      <c r="B65" s="26" t="s">
        <v>182</v>
      </c>
      <c r="C65" s="26" t="s">
        <v>39</v>
      </c>
      <c r="D65" s="19"/>
      <c r="E65" s="28" t="s">
        <v>19</v>
      </c>
      <c r="F65" s="15"/>
      <c r="G65" s="16"/>
      <c r="H65" s="17"/>
      <c r="I65" s="28" t="s">
        <v>19</v>
      </c>
      <c r="J65" s="1"/>
      <c r="K65" s="28" t="s">
        <v>19</v>
      </c>
      <c r="L65" s="15"/>
      <c r="M65" s="16"/>
      <c r="N65" s="17"/>
      <c r="O65" s="28" t="s">
        <v>19</v>
      </c>
      <c r="P65">
        <v>4</v>
      </c>
    </row>
    <row r="66" spans="1:16" x14ac:dyDescent="0.3">
      <c r="A66" s="5" t="s">
        <v>183</v>
      </c>
      <c r="B66" s="5" t="s">
        <v>184</v>
      </c>
      <c r="C66" s="5" t="s">
        <v>34</v>
      </c>
      <c r="D66" s="19"/>
      <c r="E66" s="28" t="s">
        <v>19</v>
      </c>
      <c r="F66" s="15"/>
      <c r="G66" s="16"/>
      <c r="H66" s="28" t="s">
        <v>19</v>
      </c>
      <c r="I66" s="18"/>
      <c r="J66" s="1"/>
      <c r="K66" s="28" t="s">
        <v>19</v>
      </c>
      <c r="L66" s="15"/>
      <c r="M66" s="16"/>
      <c r="N66" s="28" t="s">
        <v>19</v>
      </c>
      <c r="O66" s="18"/>
      <c r="P66">
        <v>4</v>
      </c>
    </row>
    <row r="67" spans="1:16" x14ac:dyDescent="0.3">
      <c r="A67" s="26" t="s">
        <v>185</v>
      </c>
      <c r="B67" s="26" t="s">
        <v>186</v>
      </c>
      <c r="C67" s="26" t="s">
        <v>22</v>
      </c>
      <c r="D67" s="19"/>
      <c r="E67" s="14"/>
      <c r="F67" s="28" t="s">
        <v>19</v>
      </c>
      <c r="G67" s="16"/>
      <c r="H67" s="17"/>
      <c r="I67" s="28" t="s">
        <v>19</v>
      </c>
      <c r="J67" s="1"/>
      <c r="K67" s="14"/>
      <c r="L67" s="28" t="s">
        <v>19</v>
      </c>
      <c r="M67" s="16"/>
      <c r="N67" s="17"/>
      <c r="O67" s="28" t="s">
        <v>19</v>
      </c>
      <c r="P67">
        <v>4</v>
      </c>
    </row>
    <row r="68" spans="1:16" x14ac:dyDescent="0.3">
      <c r="A68" s="26" t="s">
        <v>187</v>
      </c>
      <c r="B68" s="26" t="s">
        <v>188</v>
      </c>
      <c r="C68" s="27" t="s">
        <v>31</v>
      </c>
      <c r="D68" s="19"/>
      <c r="E68" s="28" t="s">
        <v>19</v>
      </c>
      <c r="F68" s="28" t="s">
        <v>19</v>
      </c>
      <c r="G68" s="23"/>
      <c r="H68" s="28" t="s">
        <v>19</v>
      </c>
      <c r="I68" s="25"/>
      <c r="J68" s="1"/>
      <c r="K68" s="28" t="s">
        <v>19</v>
      </c>
      <c r="L68" s="28" t="s">
        <v>19</v>
      </c>
      <c r="M68" s="23"/>
      <c r="N68" s="28" t="s">
        <v>19</v>
      </c>
      <c r="O68" s="25"/>
      <c r="P68">
        <v>6</v>
      </c>
    </row>
    <row r="69" spans="1:16" x14ac:dyDescent="0.3">
      <c r="A69" s="5" t="s">
        <v>189</v>
      </c>
      <c r="B69" s="5" t="s">
        <v>190</v>
      </c>
      <c r="C69" s="5" t="s">
        <v>45</v>
      </c>
      <c r="D69" s="28" t="s">
        <v>19</v>
      </c>
      <c r="E69" s="14"/>
      <c r="F69" s="15"/>
      <c r="G69" s="28" t="s">
        <v>19</v>
      </c>
      <c r="H69" s="17"/>
      <c r="I69" s="18"/>
      <c r="J69" s="28" t="s">
        <v>19</v>
      </c>
      <c r="K69" s="14"/>
      <c r="L69" s="15"/>
      <c r="M69" s="28" t="s">
        <v>19</v>
      </c>
      <c r="N69" s="17"/>
      <c r="O69" s="18"/>
      <c r="P69">
        <v>4</v>
      </c>
    </row>
    <row r="70" spans="1:16" x14ac:dyDescent="0.3">
      <c r="A70" s="5" t="s">
        <v>191</v>
      </c>
      <c r="B70" s="5" t="s">
        <v>192</v>
      </c>
      <c r="C70" s="5" t="s">
        <v>45</v>
      </c>
      <c r="D70" s="1"/>
      <c r="E70" s="28" t="s">
        <v>19</v>
      </c>
      <c r="F70" s="15"/>
      <c r="G70" s="28" t="s">
        <v>19</v>
      </c>
      <c r="H70" s="17"/>
      <c r="I70" s="18"/>
      <c r="J70" s="1"/>
      <c r="K70" s="28" t="s">
        <v>19</v>
      </c>
      <c r="L70" s="15"/>
      <c r="M70" s="28" t="s">
        <v>19</v>
      </c>
      <c r="N70" s="17"/>
      <c r="O70" s="18"/>
      <c r="P70">
        <v>4</v>
      </c>
    </row>
    <row r="71" spans="1:16" x14ac:dyDescent="0.3">
      <c r="A71" s="5" t="s">
        <v>193</v>
      </c>
      <c r="B71" s="5" t="s">
        <v>194</v>
      </c>
      <c r="C71" s="5" t="s">
        <v>18</v>
      </c>
      <c r="D71" s="28" t="s">
        <v>19</v>
      </c>
      <c r="E71" s="14"/>
      <c r="F71" s="15"/>
      <c r="G71" s="28" t="s">
        <v>19</v>
      </c>
      <c r="H71" s="17"/>
      <c r="I71" s="18"/>
      <c r="J71" s="28" t="s">
        <v>19</v>
      </c>
      <c r="K71" s="14"/>
      <c r="L71" s="15"/>
      <c r="M71" s="28" t="s">
        <v>19</v>
      </c>
      <c r="N71" s="17"/>
      <c r="O71" s="18"/>
      <c r="P71">
        <v>4</v>
      </c>
    </row>
    <row r="72" spans="1:16" x14ac:dyDescent="0.3">
      <c r="A72" s="5" t="s">
        <v>195</v>
      </c>
      <c r="B72" s="5" t="s">
        <v>196</v>
      </c>
      <c r="C72" s="5" t="s">
        <v>43</v>
      </c>
      <c r="D72" s="28" t="s">
        <v>19</v>
      </c>
      <c r="E72" s="14"/>
      <c r="F72" s="15"/>
      <c r="G72" s="16"/>
      <c r="H72" s="28" t="s">
        <v>19</v>
      </c>
      <c r="I72" s="18"/>
      <c r="J72" s="28" t="s">
        <v>19</v>
      </c>
      <c r="K72" s="14"/>
      <c r="L72" s="15"/>
      <c r="M72" s="16"/>
      <c r="N72" s="28" t="s">
        <v>19</v>
      </c>
      <c r="O72" s="18"/>
      <c r="P72">
        <v>4</v>
      </c>
    </row>
    <row r="73" spans="1:16" x14ac:dyDescent="0.3">
      <c r="A73" s="5" t="s">
        <v>197</v>
      </c>
      <c r="B73" s="5" t="s">
        <v>198</v>
      </c>
      <c r="C73" s="5" t="s">
        <v>44</v>
      </c>
      <c r="D73" s="28" t="s">
        <v>19</v>
      </c>
      <c r="E73" s="14"/>
      <c r="F73" s="28" t="s">
        <v>19</v>
      </c>
      <c r="G73" s="16"/>
      <c r="H73" s="17"/>
      <c r="I73" s="18"/>
      <c r="J73" s="28" t="s">
        <v>19</v>
      </c>
      <c r="K73" s="14"/>
      <c r="L73" s="28" t="s">
        <v>19</v>
      </c>
      <c r="M73" s="16"/>
      <c r="N73" s="17"/>
      <c r="O73" s="18"/>
      <c r="P73">
        <v>4</v>
      </c>
    </row>
    <row r="74" spans="1:16" x14ac:dyDescent="0.3">
      <c r="A74" s="26" t="s">
        <v>199</v>
      </c>
      <c r="B74" s="26" t="s">
        <v>200</v>
      </c>
      <c r="C74" s="26" t="s">
        <v>39</v>
      </c>
      <c r="D74" s="19"/>
      <c r="E74" s="14"/>
      <c r="F74" s="28" t="s">
        <v>19</v>
      </c>
      <c r="G74" s="16"/>
      <c r="H74" s="28" t="s">
        <v>19</v>
      </c>
      <c r="I74" s="28" t="s">
        <v>19</v>
      </c>
      <c r="J74" s="1"/>
      <c r="K74" s="14"/>
      <c r="L74" s="28" t="s">
        <v>19</v>
      </c>
      <c r="M74" s="16"/>
      <c r="N74" s="28" t="s">
        <v>19</v>
      </c>
      <c r="O74" s="28" t="s">
        <v>19</v>
      </c>
      <c r="P74">
        <v>6</v>
      </c>
    </row>
    <row r="75" spans="1:16" x14ac:dyDescent="0.3">
      <c r="A75" s="26" t="s">
        <v>201</v>
      </c>
      <c r="B75" s="26" t="s">
        <v>202</v>
      </c>
      <c r="C75" s="26" t="s">
        <v>39</v>
      </c>
      <c r="D75" s="19"/>
      <c r="E75" s="14"/>
      <c r="F75" s="28" t="s">
        <v>19</v>
      </c>
      <c r="G75" s="16"/>
      <c r="H75" s="28" t="s">
        <v>19</v>
      </c>
      <c r="I75" s="28" t="s">
        <v>19</v>
      </c>
      <c r="J75" s="1"/>
      <c r="K75" s="14"/>
      <c r="L75" s="28" t="s">
        <v>19</v>
      </c>
      <c r="M75" s="16"/>
      <c r="N75" s="28" t="s">
        <v>19</v>
      </c>
      <c r="O75" s="28" t="s">
        <v>19</v>
      </c>
      <c r="P75">
        <v>6</v>
      </c>
    </row>
    <row r="76" spans="1:16" x14ac:dyDescent="0.3">
      <c r="A76" s="5" t="s">
        <v>203</v>
      </c>
      <c r="B76" s="5" t="s">
        <v>204</v>
      </c>
      <c r="C76" s="5" t="s">
        <v>46</v>
      </c>
      <c r="D76" s="19"/>
      <c r="E76" s="28" t="s">
        <v>19</v>
      </c>
      <c r="F76" s="15"/>
      <c r="G76" s="16"/>
      <c r="H76" s="28" t="s">
        <v>19</v>
      </c>
      <c r="I76" s="18"/>
      <c r="J76" s="1"/>
      <c r="K76" s="28" t="s">
        <v>19</v>
      </c>
      <c r="L76" s="15"/>
      <c r="M76" s="16"/>
      <c r="N76" s="28" t="s">
        <v>19</v>
      </c>
      <c r="O76" s="18"/>
      <c r="P76">
        <v>4</v>
      </c>
    </row>
    <row r="77" spans="1:16" x14ac:dyDescent="0.3">
      <c r="A77" s="26" t="s">
        <v>205</v>
      </c>
      <c r="B77" s="26" t="s">
        <v>206</v>
      </c>
      <c r="C77" s="26" t="s">
        <v>22</v>
      </c>
      <c r="D77" s="19"/>
      <c r="E77" s="14"/>
      <c r="F77" s="15"/>
      <c r="G77" s="16"/>
      <c r="H77" s="28" t="s">
        <v>19</v>
      </c>
      <c r="I77" s="28" t="s">
        <v>19</v>
      </c>
      <c r="J77" s="1"/>
      <c r="K77" s="14"/>
      <c r="L77" s="15"/>
      <c r="M77" s="16"/>
      <c r="N77" s="28" t="s">
        <v>19</v>
      </c>
      <c r="O77" s="28" t="s">
        <v>19</v>
      </c>
      <c r="P77">
        <v>4</v>
      </c>
    </row>
    <row r="78" spans="1:16" x14ac:dyDescent="0.3">
      <c r="A78" s="5" t="s">
        <v>207</v>
      </c>
      <c r="B78" s="5" t="s">
        <v>208</v>
      </c>
      <c r="C78" s="5" t="s">
        <v>43</v>
      </c>
      <c r="D78" s="1"/>
      <c r="E78" s="28" t="s">
        <v>19</v>
      </c>
      <c r="F78" s="15"/>
      <c r="G78" s="16"/>
      <c r="H78" s="17"/>
      <c r="I78" s="18"/>
      <c r="J78" s="1"/>
      <c r="K78" s="28" t="s">
        <v>19</v>
      </c>
      <c r="L78" s="15"/>
      <c r="M78" s="16"/>
      <c r="N78" s="17"/>
      <c r="O78" s="18"/>
      <c r="P78">
        <v>2</v>
      </c>
    </row>
    <row r="79" spans="1:16" x14ac:dyDescent="0.3">
      <c r="A79" s="26" t="s">
        <v>209</v>
      </c>
      <c r="B79" s="26" t="s">
        <v>210</v>
      </c>
      <c r="C79" s="27" t="s">
        <v>31</v>
      </c>
      <c r="D79" s="1"/>
      <c r="E79" s="28" t="s">
        <v>19</v>
      </c>
      <c r="F79" s="22"/>
      <c r="G79" s="23"/>
      <c r="H79" s="28" t="s">
        <v>19</v>
      </c>
      <c r="I79" s="25"/>
      <c r="J79" s="1"/>
      <c r="K79" s="28" t="s">
        <v>19</v>
      </c>
      <c r="L79" s="22"/>
      <c r="M79" s="23"/>
      <c r="N79" s="28" t="s">
        <v>19</v>
      </c>
      <c r="O79" s="25"/>
      <c r="P79">
        <v>4</v>
      </c>
    </row>
    <row r="80" spans="1:16" x14ac:dyDescent="0.3">
      <c r="A80" s="5" t="s">
        <v>211</v>
      </c>
      <c r="B80" s="5" t="s">
        <v>212</v>
      </c>
      <c r="C80" s="5" t="s">
        <v>45</v>
      </c>
      <c r="D80" s="28" t="s">
        <v>19</v>
      </c>
      <c r="E80" s="14"/>
      <c r="F80" s="28" t="s">
        <v>19</v>
      </c>
      <c r="G80" s="16"/>
      <c r="H80" s="17"/>
      <c r="I80" s="18"/>
      <c r="J80" s="28" t="s">
        <v>19</v>
      </c>
      <c r="K80" s="14"/>
      <c r="L80" s="28" t="s">
        <v>19</v>
      </c>
      <c r="M80" s="16"/>
      <c r="N80" s="17"/>
      <c r="O80" s="18"/>
      <c r="P80">
        <v>4</v>
      </c>
    </row>
    <row r="81" spans="1:16" x14ac:dyDescent="0.3">
      <c r="A81" s="5" t="s">
        <v>213</v>
      </c>
      <c r="B81" s="5" t="s">
        <v>214</v>
      </c>
      <c r="C81" s="5" t="s">
        <v>18</v>
      </c>
      <c r="D81" s="1"/>
      <c r="E81" s="28" t="s">
        <v>19</v>
      </c>
      <c r="F81" s="15"/>
      <c r="G81" s="16"/>
      <c r="H81" s="17"/>
      <c r="I81" s="28" t="s">
        <v>19</v>
      </c>
      <c r="J81" s="1"/>
      <c r="K81" s="28" t="s">
        <v>19</v>
      </c>
      <c r="L81" s="15"/>
      <c r="M81" s="16"/>
      <c r="N81" s="17"/>
      <c r="O81" s="28" t="s">
        <v>19</v>
      </c>
      <c r="P81">
        <v>4</v>
      </c>
    </row>
    <row r="82" spans="1:16" x14ac:dyDescent="0.3">
      <c r="A82" s="26" t="s">
        <v>215</v>
      </c>
      <c r="B82" s="26" t="s">
        <v>216</v>
      </c>
      <c r="C82" s="26" t="s">
        <v>22</v>
      </c>
      <c r="D82" s="19"/>
      <c r="E82" s="14"/>
      <c r="F82" s="28" t="s">
        <v>19</v>
      </c>
      <c r="G82" s="16"/>
      <c r="H82" s="28" t="s">
        <v>19</v>
      </c>
      <c r="I82" s="28" t="s">
        <v>19</v>
      </c>
      <c r="J82" s="1"/>
      <c r="K82" s="14"/>
      <c r="L82" s="28" t="s">
        <v>19</v>
      </c>
      <c r="M82" s="16"/>
      <c r="N82" s="28" t="s">
        <v>19</v>
      </c>
      <c r="O82" s="28" t="s">
        <v>19</v>
      </c>
      <c r="P82">
        <v>6</v>
      </c>
    </row>
    <row r="83" spans="1:16" x14ac:dyDescent="0.3">
      <c r="A83" s="5" t="s">
        <v>217</v>
      </c>
      <c r="B83" s="5" t="s">
        <v>218</v>
      </c>
      <c r="C83" s="5" t="s">
        <v>18</v>
      </c>
      <c r="D83" s="1"/>
      <c r="E83" s="14"/>
      <c r="F83" s="15"/>
      <c r="G83" s="28" t="s">
        <v>19</v>
      </c>
      <c r="H83" s="17"/>
      <c r="I83" s="18"/>
      <c r="J83" s="1"/>
      <c r="K83" s="14"/>
      <c r="L83" s="15"/>
      <c r="M83" s="28" t="s">
        <v>19</v>
      </c>
      <c r="N83" s="17"/>
      <c r="O83" s="18"/>
      <c r="P83">
        <v>2</v>
      </c>
    </row>
    <row r="84" spans="1:16" x14ac:dyDescent="0.3">
      <c r="A84" s="5" t="s">
        <v>219</v>
      </c>
      <c r="B84" s="5" t="s">
        <v>220</v>
      </c>
      <c r="C84" s="5" t="s">
        <v>28</v>
      </c>
      <c r="D84" s="19"/>
      <c r="E84" s="28" t="s">
        <v>19</v>
      </c>
      <c r="F84" s="15"/>
      <c r="G84" s="16"/>
      <c r="H84" s="17"/>
      <c r="I84" s="28" t="s">
        <v>19</v>
      </c>
      <c r="J84" s="1"/>
      <c r="K84" s="28" t="s">
        <v>19</v>
      </c>
      <c r="L84" s="15"/>
      <c r="M84" s="16"/>
      <c r="N84" s="17"/>
      <c r="O84" s="28" t="s">
        <v>19</v>
      </c>
      <c r="P84">
        <v>4</v>
      </c>
    </row>
    <row r="85" spans="1:16" x14ac:dyDescent="0.3">
      <c r="A85" s="5" t="s">
        <v>221</v>
      </c>
      <c r="B85" s="5" t="s">
        <v>222</v>
      </c>
      <c r="C85" s="5" t="s">
        <v>45</v>
      </c>
      <c r="D85" s="19"/>
      <c r="E85" s="14"/>
      <c r="F85" s="15"/>
      <c r="G85" s="28" t="s">
        <v>19</v>
      </c>
      <c r="H85" s="17"/>
      <c r="I85" s="28" t="s">
        <v>19</v>
      </c>
      <c r="J85" s="1"/>
      <c r="K85" s="14"/>
      <c r="L85" s="15"/>
      <c r="M85" s="28" t="s">
        <v>19</v>
      </c>
      <c r="N85" s="17"/>
      <c r="O85" s="28" t="s">
        <v>19</v>
      </c>
      <c r="P85">
        <v>4</v>
      </c>
    </row>
    <row r="86" spans="1:16" x14ac:dyDescent="0.3">
      <c r="A86" s="26" t="s">
        <v>223</v>
      </c>
      <c r="B86" s="26" t="s">
        <v>224</v>
      </c>
      <c r="C86" s="27" t="s">
        <v>31</v>
      </c>
      <c r="D86" s="1"/>
      <c r="E86" s="28" t="s">
        <v>19</v>
      </c>
      <c r="F86" s="22"/>
      <c r="G86" s="28" t="s">
        <v>19</v>
      </c>
      <c r="H86" s="24"/>
      <c r="I86" s="25"/>
      <c r="J86" s="1"/>
      <c r="K86" s="28" t="s">
        <v>19</v>
      </c>
      <c r="L86" s="22"/>
      <c r="M86" s="28" t="s">
        <v>19</v>
      </c>
      <c r="N86" s="24"/>
      <c r="O86" s="25"/>
      <c r="P86">
        <v>4</v>
      </c>
    </row>
    <row r="87" spans="1:16" x14ac:dyDescent="0.3">
      <c r="A87" s="5" t="s">
        <v>225</v>
      </c>
      <c r="B87" s="5" t="s">
        <v>226</v>
      </c>
      <c r="C87" s="5" t="s">
        <v>34</v>
      </c>
      <c r="D87" s="1"/>
      <c r="E87" s="14"/>
      <c r="F87" s="28" t="s">
        <v>19</v>
      </c>
      <c r="G87" s="16"/>
      <c r="H87" s="17"/>
      <c r="I87" s="18"/>
      <c r="J87" s="1"/>
      <c r="K87" s="14"/>
      <c r="L87" s="28" t="s">
        <v>19</v>
      </c>
      <c r="M87" s="16"/>
      <c r="N87" s="17"/>
      <c r="O87" s="18"/>
      <c r="P87">
        <v>2</v>
      </c>
    </row>
    <row r="88" spans="1:16" x14ac:dyDescent="0.3">
      <c r="A88" s="5" t="s">
        <v>227</v>
      </c>
      <c r="B88" s="5" t="s">
        <v>228</v>
      </c>
      <c r="C88" s="5" t="s">
        <v>45</v>
      </c>
      <c r="D88" s="28" t="s">
        <v>19</v>
      </c>
      <c r="E88" s="14"/>
      <c r="F88" s="15"/>
      <c r="G88" s="16"/>
      <c r="H88" s="28" t="s">
        <v>19</v>
      </c>
      <c r="I88" s="18"/>
      <c r="J88" s="28" t="s">
        <v>19</v>
      </c>
      <c r="K88" s="14"/>
      <c r="L88" s="15"/>
      <c r="M88" s="16"/>
      <c r="N88" s="28" t="s">
        <v>19</v>
      </c>
      <c r="O88" s="18"/>
      <c r="P88">
        <v>4</v>
      </c>
    </row>
    <row r="89" spans="1:16" x14ac:dyDescent="0.3">
      <c r="A89" s="5" t="s">
        <v>229</v>
      </c>
      <c r="B89" s="5" t="s">
        <v>230</v>
      </c>
      <c r="C89" s="5" t="s">
        <v>45</v>
      </c>
      <c r="D89" s="19"/>
      <c r="E89" s="28" t="s">
        <v>19</v>
      </c>
      <c r="F89" s="15"/>
      <c r="G89" s="16"/>
      <c r="H89" s="28" t="s">
        <v>19</v>
      </c>
      <c r="I89" s="18"/>
      <c r="J89" s="1"/>
      <c r="K89" s="28" t="s">
        <v>19</v>
      </c>
      <c r="L89" s="15"/>
      <c r="M89" s="16"/>
      <c r="N89" s="28" t="s">
        <v>19</v>
      </c>
      <c r="O89" s="18"/>
      <c r="P89">
        <v>4</v>
      </c>
    </row>
    <row r="90" spans="1:16" x14ac:dyDescent="0.3">
      <c r="A90" s="5" t="s">
        <v>231</v>
      </c>
      <c r="B90" s="5" t="s">
        <v>232</v>
      </c>
      <c r="C90" s="5" t="s">
        <v>43</v>
      </c>
      <c r="D90" s="28" t="s">
        <v>19</v>
      </c>
      <c r="E90" s="14"/>
      <c r="F90" s="15"/>
      <c r="G90" s="16"/>
      <c r="H90" s="28" t="s">
        <v>19</v>
      </c>
      <c r="I90" s="18"/>
      <c r="J90" s="28" t="s">
        <v>19</v>
      </c>
      <c r="K90" s="14"/>
      <c r="L90" s="15"/>
      <c r="M90" s="16"/>
      <c r="N90" s="28" t="s">
        <v>19</v>
      </c>
      <c r="O90" s="18"/>
      <c r="P90">
        <v>4</v>
      </c>
    </row>
    <row r="91" spans="1:16" x14ac:dyDescent="0.3">
      <c r="A91" s="5" t="s">
        <v>233</v>
      </c>
      <c r="B91" s="5" t="s">
        <v>234</v>
      </c>
      <c r="C91" s="5" t="s">
        <v>34</v>
      </c>
      <c r="D91" s="28" t="s">
        <v>19</v>
      </c>
      <c r="E91" s="14"/>
      <c r="F91" s="28" t="s">
        <v>19</v>
      </c>
      <c r="G91" s="16"/>
      <c r="H91" s="28" t="s">
        <v>19</v>
      </c>
      <c r="I91" s="18"/>
      <c r="J91" s="28" t="s">
        <v>19</v>
      </c>
      <c r="K91" s="14"/>
      <c r="L91" s="28" t="s">
        <v>19</v>
      </c>
      <c r="M91" s="16"/>
      <c r="N91" s="28" t="s">
        <v>19</v>
      </c>
      <c r="O91" s="18"/>
      <c r="P91">
        <v>6</v>
      </c>
    </row>
    <row r="92" spans="1:16" x14ac:dyDescent="0.3">
      <c r="A92" s="5" t="s">
        <v>235</v>
      </c>
      <c r="B92" s="5" t="s">
        <v>236</v>
      </c>
      <c r="C92" s="5" t="s">
        <v>46</v>
      </c>
      <c r="D92" s="19"/>
      <c r="E92" s="28" t="s">
        <v>19</v>
      </c>
      <c r="F92" s="15"/>
      <c r="G92" s="16"/>
      <c r="H92" s="17"/>
      <c r="I92" s="28" t="s">
        <v>19</v>
      </c>
      <c r="J92" s="1"/>
      <c r="K92" s="28" t="s">
        <v>19</v>
      </c>
      <c r="L92" s="15"/>
      <c r="M92" s="16"/>
      <c r="N92" s="17"/>
      <c r="O92" s="28" t="s">
        <v>19</v>
      </c>
      <c r="P92">
        <v>4</v>
      </c>
    </row>
    <row r="93" spans="1:16" x14ac:dyDescent="0.3">
      <c r="A93" s="5" t="s">
        <v>237</v>
      </c>
      <c r="B93" s="5" t="s">
        <v>238</v>
      </c>
      <c r="C93" s="5" t="s">
        <v>43</v>
      </c>
      <c r="D93" s="28" t="s">
        <v>19</v>
      </c>
      <c r="E93" s="14"/>
      <c r="F93" s="28" t="s">
        <v>19</v>
      </c>
      <c r="G93" s="16"/>
      <c r="H93" s="28" t="s">
        <v>19</v>
      </c>
      <c r="I93" s="18"/>
      <c r="J93" s="28" t="s">
        <v>19</v>
      </c>
      <c r="K93" s="14"/>
      <c r="L93" s="28" t="s">
        <v>19</v>
      </c>
      <c r="M93" s="16"/>
      <c r="N93" s="28" t="s">
        <v>19</v>
      </c>
      <c r="O93" s="18"/>
      <c r="P93">
        <v>6</v>
      </c>
    </row>
    <row r="94" spans="1:16" x14ac:dyDescent="0.3">
      <c r="A94" s="26" t="s">
        <v>239</v>
      </c>
      <c r="B94" s="26" t="s">
        <v>240</v>
      </c>
      <c r="C94" s="26" t="s">
        <v>22</v>
      </c>
      <c r="D94" s="19"/>
      <c r="E94" s="14"/>
      <c r="F94" s="15"/>
      <c r="G94" s="28" t="s">
        <v>19</v>
      </c>
      <c r="H94" s="17"/>
      <c r="I94" s="18"/>
      <c r="J94" s="1"/>
      <c r="K94" s="14"/>
      <c r="L94" s="15"/>
      <c r="M94" s="28" t="s">
        <v>19</v>
      </c>
      <c r="N94" s="17"/>
      <c r="O94" s="18"/>
      <c r="P94">
        <v>2</v>
      </c>
    </row>
    <row r="95" spans="1:16" x14ac:dyDescent="0.3">
      <c r="A95" s="26" t="s">
        <v>241</v>
      </c>
      <c r="B95" s="26" t="s">
        <v>242</v>
      </c>
      <c r="C95" s="27" t="s">
        <v>31</v>
      </c>
      <c r="D95" s="19"/>
      <c r="E95" s="21"/>
      <c r="F95" s="22"/>
      <c r="G95" s="23"/>
      <c r="H95" s="28" t="s">
        <v>19</v>
      </c>
      <c r="I95" s="25"/>
      <c r="J95" s="1"/>
      <c r="K95" s="21"/>
      <c r="L95" s="22"/>
      <c r="M95" s="23"/>
      <c r="N95" s="28" t="s">
        <v>19</v>
      </c>
      <c r="O95" s="25"/>
      <c r="P95">
        <v>2</v>
      </c>
    </row>
    <row r="96" spans="1:16" x14ac:dyDescent="0.3">
      <c r="A96" s="5" t="s">
        <v>243</v>
      </c>
      <c r="B96" s="5" t="s">
        <v>244</v>
      </c>
      <c r="C96" s="5" t="s">
        <v>45</v>
      </c>
      <c r="D96" s="28" t="s">
        <v>19</v>
      </c>
      <c r="E96" s="14"/>
      <c r="F96" s="15"/>
      <c r="G96" s="28" t="s">
        <v>19</v>
      </c>
      <c r="H96" s="17"/>
      <c r="I96" s="18"/>
      <c r="J96" s="28" t="s">
        <v>19</v>
      </c>
      <c r="K96" s="14"/>
      <c r="L96" s="15"/>
      <c r="M96" s="28" t="s">
        <v>19</v>
      </c>
      <c r="N96" s="17"/>
      <c r="O96" s="18"/>
      <c r="P96">
        <v>4</v>
      </c>
    </row>
    <row r="97" spans="1:16" x14ac:dyDescent="0.3">
      <c r="A97" s="5" t="s">
        <v>245</v>
      </c>
      <c r="B97" s="5" t="s">
        <v>246</v>
      </c>
      <c r="C97" s="5" t="s">
        <v>43</v>
      </c>
      <c r="D97" s="1"/>
      <c r="E97" s="28" t="s">
        <v>19</v>
      </c>
      <c r="F97" s="15"/>
      <c r="G97" s="16"/>
      <c r="H97" s="17"/>
      <c r="I97" s="18"/>
      <c r="J97" s="1"/>
      <c r="K97" s="28" t="s">
        <v>19</v>
      </c>
      <c r="L97" s="15"/>
      <c r="M97" s="16"/>
      <c r="N97" s="17"/>
      <c r="O97" s="18"/>
      <c r="P97">
        <v>2</v>
      </c>
    </row>
    <row r="98" spans="1:16" x14ac:dyDescent="0.3">
      <c r="A98" s="5" t="s">
        <v>247</v>
      </c>
      <c r="B98" s="5" t="s">
        <v>248</v>
      </c>
      <c r="C98" s="5" t="s">
        <v>28</v>
      </c>
      <c r="D98" s="28" t="s">
        <v>19</v>
      </c>
      <c r="E98" s="14"/>
      <c r="F98" s="15"/>
      <c r="G98" s="16"/>
      <c r="H98" s="28" t="s">
        <v>19</v>
      </c>
      <c r="I98" s="18"/>
      <c r="J98" s="28" t="s">
        <v>19</v>
      </c>
      <c r="K98" s="14"/>
      <c r="L98" s="15"/>
      <c r="M98" s="16"/>
      <c r="N98" s="28" t="s">
        <v>19</v>
      </c>
      <c r="O98" s="18"/>
      <c r="P98">
        <v>4</v>
      </c>
    </row>
    <row r="99" spans="1:16" x14ac:dyDescent="0.3">
      <c r="A99" s="5" t="s">
        <v>249</v>
      </c>
      <c r="B99" s="5" t="s">
        <v>250</v>
      </c>
      <c r="C99" s="5" t="s">
        <v>45</v>
      </c>
      <c r="D99" s="19"/>
      <c r="E99" s="28" t="s">
        <v>19</v>
      </c>
      <c r="F99" s="15"/>
      <c r="G99" s="16"/>
      <c r="H99" s="28" t="s">
        <v>19</v>
      </c>
      <c r="I99" s="18"/>
      <c r="J99" s="1"/>
      <c r="K99" s="28" t="s">
        <v>19</v>
      </c>
      <c r="L99" s="15"/>
      <c r="M99" s="16"/>
      <c r="N99" s="28" t="s">
        <v>19</v>
      </c>
      <c r="O99" s="18"/>
      <c r="P99">
        <v>4</v>
      </c>
    </row>
    <row r="100" spans="1:16" x14ac:dyDescent="0.3">
      <c r="A100" s="5" t="s">
        <v>251</v>
      </c>
      <c r="B100" s="5" t="s">
        <v>252</v>
      </c>
      <c r="C100" s="5" t="s">
        <v>28</v>
      </c>
      <c r="D100" s="28" t="s">
        <v>19</v>
      </c>
      <c r="E100" s="14"/>
      <c r="F100" s="28" t="s">
        <v>19</v>
      </c>
      <c r="G100" s="16"/>
      <c r="H100" s="17"/>
      <c r="I100" s="18"/>
      <c r="J100" s="28" t="s">
        <v>19</v>
      </c>
      <c r="K100" s="14"/>
      <c r="L100" s="28" t="s">
        <v>19</v>
      </c>
      <c r="M100" s="16"/>
      <c r="N100" s="17"/>
      <c r="O100" s="18"/>
      <c r="P100">
        <v>4</v>
      </c>
    </row>
    <row r="101" spans="1:16" x14ac:dyDescent="0.3">
      <c r="A101" s="5" t="s">
        <v>253</v>
      </c>
      <c r="B101" s="5" t="s">
        <v>254</v>
      </c>
      <c r="C101" s="5" t="s">
        <v>44</v>
      </c>
      <c r="D101" s="19"/>
      <c r="E101" s="28" t="s">
        <v>19</v>
      </c>
      <c r="F101" s="15"/>
      <c r="G101" s="16"/>
      <c r="H101" s="17"/>
      <c r="I101" s="28" t="s">
        <v>19</v>
      </c>
      <c r="J101" s="1"/>
      <c r="K101" s="28" t="s">
        <v>19</v>
      </c>
      <c r="L101" s="15"/>
      <c r="M101" s="16"/>
      <c r="N101" s="17"/>
      <c r="O101" s="28" t="s">
        <v>19</v>
      </c>
      <c r="P101">
        <v>4</v>
      </c>
    </row>
    <row r="102" spans="1:16" x14ac:dyDescent="0.3">
      <c r="A102" s="26" t="s">
        <v>255</v>
      </c>
      <c r="B102" s="26" t="s">
        <v>256</v>
      </c>
      <c r="C102" s="26" t="s">
        <v>22</v>
      </c>
      <c r="D102" s="19"/>
      <c r="E102" s="28" t="s">
        <v>19</v>
      </c>
      <c r="F102" s="15"/>
      <c r="G102" s="16"/>
      <c r="H102" s="17"/>
      <c r="I102" s="28" t="s">
        <v>19</v>
      </c>
      <c r="J102" s="1"/>
      <c r="K102" s="28" t="s">
        <v>19</v>
      </c>
      <c r="L102" s="15"/>
      <c r="M102" s="16"/>
      <c r="N102" s="17"/>
      <c r="O102" s="28" t="s">
        <v>19</v>
      </c>
      <c r="P102">
        <v>4</v>
      </c>
    </row>
    <row r="103" spans="1:16" x14ac:dyDescent="0.3">
      <c r="A103" s="5" t="s">
        <v>257</v>
      </c>
      <c r="B103" s="5" t="s">
        <v>258</v>
      </c>
      <c r="C103" s="5" t="s">
        <v>25</v>
      </c>
      <c r="D103" s="28" t="s">
        <v>19</v>
      </c>
      <c r="E103" s="14"/>
      <c r="F103" s="28" t="s">
        <v>19</v>
      </c>
      <c r="G103" s="16"/>
      <c r="H103" s="28" t="s">
        <v>19</v>
      </c>
      <c r="I103" s="28" t="s">
        <v>19</v>
      </c>
      <c r="J103" s="28" t="s">
        <v>19</v>
      </c>
      <c r="K103" s="14"/>
      <c r="L103" s="28" t="s">
        <v>19</v>
      </c>
      <c r="M103" s="16"/>
      <c r="N103" s="28" t="s">
        <v>19</v>
      </c>
      <c r="O103" s="28" t="s">
        <v>19</v>
      </c>
      <c r="P103">
        <v>6</v>
      </c>
    </row>
    <row r="104" spans="1:16" x14ac:dyDescent="0.3">
      <c r="A104" s="5" t="s">
        <v>259</v>
      </c>
      <c r="B104" s="5" t="s">
        <v>260</v>
      </c>
      <c r="C104" s="5" t="s">
        <v>43</v>
      </c>
      <c r="D104" s="1"/>
      <c r="E104" s="14"/>
      <c r="F104" s="28" t="s">
        <v>19</v>
      </c>
      <c r="G104" s="16"/>
      <c r="H104" s="17"/>
      <c r="I104" s="28" t="s">
        <v>19</v>
      </c>
      <c r="J104" s="1"/>
      <c r="K104" s="14"/>
      <c r="L104" s="28" t="s">
        <v>19</v>
      </c>
      <c r="M104" s="16"/>
      <c r="N104" s="17"/>
      <c r="O104" s="28" t="s">
        <v>19</v>
      </c>
      <c r="P104">
        <v>4</v>
      </c>
    </row>
    <row r="105" spans="1:16" x14ac:dyDescent="0.3">
      <c r="A105" s="5" t="s">
        <v>261</v>
      </c>
      <c r="B105" s="5" t="s">
        <v>262</v>
      </c>
      <c r="C105" s="5" t="s">
        <v>25</v>
      </c>
      <c r="D105" s="1"/>
      <c r="E105" s="28" t="s">
        <v>19</v>
      </c>
      <c r="F105" s="15"/>
      <c r="G105" s="28" t="s">
        <v>19</v>
      </c>
      <c r="H105" s="17"/>
      <c r="I105" s="28" t="s">
        <v>19</v>
      </c>
      <c r="J105" s="1"/>
      <c r="K105" s="28" t="s">
        <v>19</v>
      </c>
      <c r="L105" s="15"/>
      <c r="M105" s="28" t="s">
        <v>19</v>
      </c>
      <c r="N105" s="17"/>
      <c r="O105" s="28" t="s">
        <v>19</v>
      </c>
      <c r="P105">
        <v>4</v>
      </c>
    </row>
    <row r="106" spans="1:16" x14ac:dyDescent="0.3">
      <c r="A106" s="5" t="s">
        <v>263</v>
      </c>
      <c r="B106" s="5" t="s">
        <v>264</v>
      </c>
      <c r="C106" s="5" t="s">
        <v>28</v>
      </c>
      <c r="D106" s="28" t="s">
        <v>19</v>
      </c>
      <c r="E106" s="14"/>
      <c r="F106" s="15"/>
      <c r="G106" s="28" t="s">
        <v>19</v>
      </c>
      <c r="H106" s="17"/>
      <c r="I106" s="18"/>
      <c r="J106" s="28" t="s">
        <v>19</v>
      </c>
      <c r="K106" s="14"/>
      <c r="L106" s="15"/>
      <c r="M106" s="28" t="s">
        <v>19</v>
      </c>
      <c r="N106" s="17"/>
      <c r="O106" s="18"/>
      <c r="P106">
        <v>4</v>
      </c>
    </row>
    <row r="107" spans="1:16" x14ac:dyDescent="0.3">
      <c r="A107" s="5" t="s">
        <v>265</v>
      </c>
      <c r="B107" s="5" t="s">
        <v>266</v>
      </c>
      <c r="C107" s="5" t="s">
        <v>18</v>
      </c>
      <c r="D107" s="1"/>
      <c r="E107" s="14"/>
      <c r="F107" s="15"/>
      <c r="G107" s="28" t="s">
        <v>19</v>
      </c>
      <c r="H107" s="17"/>
      <c r="I107" s="18"/>
      <c r="J107" s="1"/>
      <c r="K107" s="14"/>
      <c r="L107" s="15"/>
      <c r="M107" s="28" t="s">
        <v>19</v>
      </c>
      <c r="N107" s="17"/>
      <c r="O107" s="18"/>
      <c r="P107">
        <v>2</v>
      </c>
    </row>
    <row r="108" spans="1:16" x14ac:dyDescent="0.3">
      <c r="A108" s="5" t="s">
        <v>267</v>
      </c>
      <c r="B108" s="5" t="s">
        <v>268</v>
      </c>
      <c r="C108" s="5" t="s">
        <v>25</v>
      </c>
      <c r="D108" s="1"/>
      <c r="E108" s="14"/>
      <c r="F108" s="15"/>
      <c r="G108" s="16"/>
      <c r="H108" s="28" t="s">
        <v>19</v>
      </c>
      <c r="I108" s="28" t="s">
        <v>19</v>
      </c>
      <c r="J108" s="1"/>
      <c r="K108" s="14"/>
      <c r="L108" s="15"/>
      <c r="M108" s="16"/>
      <c r="N108" s="28" t="s">
        <v>19</v>
      </c>
      <c r="O108" s="28" t="s">
        <v>19</v>
      </c>
      <c r="P108">
        <v>4</v>
      </c>
    </row>
    <row r="109" spans="1:16" x14ac:dyDescent="0.3">
      <c r="A109" s="5" t="s">
        <v>269</v>
      </c>
      <c r="B109" s="5" t="s">
        <v>270</v>
      </c>
      <c r="C109" s="5" t="s">
        <v>45</v>
      </c>
      <c r="D109" s="28" t="s">
        <v>19</v>
      </c>
      <c r="E109" s="14"/>
      <c r="F109" s="28" t="s">
        <v>19</v>
      </c>
      <c r="G109" s="16"/>
      <c r="H109" s="28" t="s">
        <v>19</v>
      </c>
      <c r="I109" s="18"/>
      <c r="J109" s="28" t="s">
        <v>19</v>
      </c>
      <c r="K109" s="14"/>
      <c r="L109" s="28" t="s">
        <v>19</v>
      </c>
      <c r="M109" s="16"/>
      <c r="N109" s="28" t="s">
        <v>19</v>
      </c>
      <c r="O109" s="18"/>
      <c r="P109">
        <v>6</v>
      </c>
    </row>
    <row r="110" spans="1:16" x14ac:dyDescent="0.3">
      <c r="A110" s="5" t="s">
        <v>99</v>
      </c>
      <c r="B110" s="5"/>
      <c r="C110" s="5"/>
      <c r="D110" s="1">
        <f t="shared" ref="D110:P110" si="5">SUBTOTAL(109,D1:D109)</f>
        <v>0</v>
      </c>
      <c r="E110" s="14">
        <f t="shared" si="5"/>
        <v>0</v>
      </c>
      <c r="F110" s="15">
        <f t="shared" si="5"/>
        <v>0</v>
      </c>
      <c r="G110" s="16">
        <f t="shared" si="5"/>
        <v>0</v>
      </c>
      <c r="H110" s="17">
        <f t="shared" si="5"/>
        <v>0</v>
      </c>
      <c r="I110" s="18">
        <f t="shared" si="5"/>
        <v>0</v>
      </c>
      <c r="J110" s="1">
        <f t="shared" si="5"/>
        <v>0</v>
      </c>
      <c r="K110" s="14">
        <f t="shared" si="5"/>
        <v>0</v>
      </c>
      <c r="L110" s="15">
        <f t="shared" si="5"/>
        <v>0</v>
      </c>
      <c r="M110" s="16">
        <f t="shared" si="5"/>
        <v>0</v>
      </c>
      <c r="N110" s="17">
        <f t="shared" si="5"/>
        <v>0</v>
      </c>
      <c r="O110" s="18">
        <f t="shared" si="5"/>
        <v>0</v>
      </c>
      <c r="P110">
        <f t="shared" si="5"/>
        <v>411</v>
      </c>
    </row>
    <row r="111" spans="1:16" x14ac:dyDescent="0.3">
      <c r="A111" s="5" t="s">
        <v>271</v>
      </c>
      <c r="B111" s="5" t="s">
        <v>272</v>
      </c>
      <c r="C111" s="5" t="s">
        <v>28</v>
      </c>
      <c r="D111" s="1"/>
      <c r="E111" s="28" t="s">
        <v>19</v>
      </c>
      <c r="F111" s="15"/>
      <c r="G111" s="16"/>
      <c r="H111" s="17"/>
      <c r="I111" s="18"/>
      <c r="J111" s="1"/>
      <c r="K111" s="28" t="s">
        <v>19</v>
      </c>
      <c r="L111" s="15"/>
      <c r="M111" s="16"/>
      <c r="N111" s="17"/>
      <c r="O111" s="18"/>
      <c r="P111">
        <v>2</v>
      </c>
    </row>
    <row r="112" spans="1:16" x14ac:dyDescent="0.3">
      <c r="A112" s="5" t="s">
        <v>273</v>
      </c>
      <c r="B112" s="5" t="s">
        <v>274</v>
      </c>
      <c r="C112" s="5" t="s">
        <v>28</v>
      </c>
      <c r="D112" s="19"/>
      <c r="E112" s="28" t="s">
        <v>19</v>
      </c>
      <c r="F112" s="15"/>
      <c r="G112" s="28" t="s">
        <v>19</v>
      </c>
      <c r="H112" s="17"/>
      <c r="I112" s="18"/>
      <c r="J112" s="1"/>
      <c r="K112" s="28" t="s">
        <v>19</v>
      </c>
      <c r="L112" s="15"/>
      <c r="M112" s="28" t="s">
        <v>19</v>
      </c>
      <c r="N112" s="17"/>
      <c r="O112" s="18"/>
      <c r="P112">
        <v>4</v>
      </c>
    </row>
    <row r="113" spans="1:16" x14ac:dyDescent="0.3">
      <c r="A113" s="5" t="s">
        <v>275</v>
      </c>
      <c r="B113" s="5" t="s">
        <v>276</v>
      </c>
      <c r="C113" s="5" t="s">
        <v>44</v>
      </c>
      <c r="D113" s="28" t="s">
        <v>19</v>
      </c>
      <c r="E113" s="14"/>
      <c r="F113" s="15"/>
      <c r="G113" s="16"/>
      <c r="H113" s="28" t="s">
        <v>19</v>
      </c>
      <c r="I113" s="18"/>
      <c r="J113" s="28" t="s">
        <v>19</v>
      </c>
      <c r="K113" s="14"/>
      <c r="L113" s="15"/>
      <c r="M113" s="16"/>
      <c r="N113" s="28" t="s">
        <v>19</v>
      </c>
      <c r="O113" s="18"/>
      <c r="P113">
        <v>4</v>
      </c>
    </row>
    <row r="114" spans="1:16" x14ac:dyDescent="0.3">
      <c r="A114" s="5" t="s">
        <v>277</v>
      </c>
      <c r="B114" s="5" t="s">
        <v>278</v>
      </c>
      <c r="C114" s="5" t="s">
        <v>43</v>
      </c>
      <c r="D114" s="28" t="s">
        <v>19</v>
      </c>
      <c r="E114" s="14"/>
      <c r="F114" s="15"/>
      <c r="G114" s="28" t="s">
        <v>19</v>
      </c>
      <c r="H114" s="17"/>
      <c r="I114" s="18"/>
      <c r="J114" s="28" t="s">
        <v>19</v>
      </c>
      <c r="K114" s="14"/>
      <c r="L114" s="15"/>
      <c r="M114" s="28" t="s">
        <v>19</v>
      </c>
      <c r="N114" s="17"/>
      <c r="O114" s="18"/>
      <c r="P114">
        <v>4</v>
      </c>
    </row>
    <row r="115" spans="1:16" x14ac:dyDescent="0.3">
      <c r="A115" s="5" t="s">
        <v>279</v>
      </c>
      <c r="B115" s="5" t="s">
        <v>280</v>
      </c>
      <c r="C115" s="5" t="s">
        <v>43</v>
      </c>
      <c r="D115" s="1"/>
      <c r="E115" s="14"/>
      <c r="F115" s="28" t="s">
        <v>19</v>
      </c>
      <c r="G115" s="16"/>
      <c r="H115" s="28" t="s">
        <v>19</v>
      </c>
      <c r="I115" s="18"/>
      <c r="J115" s="1"/>
      <c r="K115" s="14"/>
      <c r="L115" s="28" t="s">
        <v>19</v>
      </c>
      <c r="M115" s="16"/>
      <c r="N115" s="28" t="s">
        <v>19</v>
      </c>
      <c r="O115" s="18"/>
      <c r="P115">
        <v>4</v>
      </c>
    </row>
    <row r="116" spans="1:16" x14ac:dyDescent="0.3">
      <c r="A116" s="5" t="s">
        <v>281</v>
      </c>
      <c r="B116" s="5" t="s">
        <v>282</v>
      </c>
      <c r="C116" s="5" t="s">
        <v>43</v>
      </c>
      <c r="D116" s="1"/>
      <c r="E116" s="28" t="s">
        <v>19</v>
      </c>
      <c r="F116" s="15"/>
      <c r="G116" s="28" t="s">
        <v>19</v>
      </c>
      <c r="H116" s="17"/>
      <c r="I116" s="18"/>
      <c r="J116" s="1"/>
      <c r="K116" s="28" t="s">
        <v>19</v>
      </c>
      <c r="L116" s="15"/>
      <c r="M116" s="28" t="s">
        <v>19</v>
      </c>
      <c r="N116" s="17"/>
      <c r="O116" s="18"/>
      <c r="P116">
        <v>4</v>
      </c>
    </row>
    <row r="117" spans="1:16" x14ac:dyDescent="0.3">
      <c r="A117" s="26" t="s">
        <v>283</v>
      </c>
      <c r="B117" s="26" t="s">
        <v>284</v>
      </c>
      <c r="C117" s="27" t="s">
        <v>31</v>
      </c>
      <c r="D117" s="1"/>
      <c r="E117" s="28" t="s">
        <v>19</v>
      </c>
      <c r="F117" s="28" t="s">
        <v>19</v>
      </c>
      <c r="G117" s="23"/>
      <c r="H117" s="24"/>
      <c r="I117" s="25"/>
      <c r="J117" s="1"/>
      <c r="K117" s="28" t="s">
        <v>19</v>
      </c>
      <c r="L117" s="28" t="s">
        <v>19</v>
      </c>
      <c r="M117" s="23"/>
      <c r="N117" s="24"/>
      <c r="O117" s="25"/>
      <c r="P117">
        <v>4</v>
      </c>
    </row>
    <row r="118" spans="1:16" x14ac:dyDescent="0.3">
      <c r="A118" s="26" t="s">
        <v>285</v>
      </c>
      <c r="B118" s="26" t="s">
        <v>286</v>
      </c>
      <c r="C118" s="26" t="s">
        <v>22</v>
      </c>
      <c r="D118" s="19"/>
      <c r="E118" s="14"/>
      <c r="F118" s="15"/>
      <c r="G118" s="28" t="s">
        <v>19</v>
      </c>
      <c r="H118" s="17"/>
      <c r="I118" s="18"/>
      <c r="J118" s="1"/>
      <c r="K118" s="14"/>
      <c r="L118" s="15"/>
      <c r="M118" s="28" t="s">
        <v>19</v>
      </c>
      <c r="N118" s="17"/>
      <c r="O118" s="18"/>
      <c r="P118">
        <v>2</v>
      </c>
    </row>
    <row r="119" spans="1:16" x14ac:dyDescent="0.3">
      <c r="A119" s="5" t="s">
        <v>287</v>
      </c>
      <c r="B119" s="5" t="s">
        <v>288</v>
      </c>
      <c r="C119" s="5" t="s">
        <v>34</v>
      </c>
      <c r="D119" s="28" t="s">
        <v>19</v>
      </c>
      <c r="E119" s="14"/>
      <c r="F119" s="15"/>
      <c r="G119" s="28" t="s">
        <v>19</v>
      </c>
      <c r="H119" s="17"/>
      <c r="I119" s="18"/>
      <c r="J119" s="28" t="s">
        <v>19</v>
      </c>
      <c r="K119" s="14"/>
      <c r="L119" s="15"/>
      <c r="M119" s="28" t="s">
        <v>19</v>
      </c>
      <c r="N119" s="17"/>
      <c r="O119" s="18"/>
      <c r="P119">
        <v>4</v>
      </c>
    </row>
    <row r="120" spans="1:16" x14ac:dyDescent="0.3">
      <c r="A120" s="26" t="s">
        <v>289</v>
      </c>
      <c r="B120" s="26" t="s">
        <v>290</v>
      </c>
      <c r="C120" s="27" t="s">
        <v>31</v>
      </c>
      <c r="D120" s="19"/>
      <c r="E120" s="28" t="s">
        <v>19</v>
      </c>
      <c r="F120" s="22"/>
      <c r="G120" s="28" t="s">
        <v>19</v>
      </c>
      <c r="H120" s="24"/>
      <c r="I120" s="25"/>
      <c r="J120" s="1"/>
      <c r="K120" s="28" t="s">
        <v>19</v>
      </c>
      <c r="L120" s="22"/>
      <c r="M120" s="28" t="s">
        <v>19</v>
      </c>
      <c r="N120" s="24"/>
      <c r="O120" s="25"/>
      <c r="P120">
        <v>4</v>
      </c>
    </row>
    <row r="121" spans="1:16" x14ac:dyDescent="0.3">
      <c r="A121" s="5" t="s">
        <v>291</v>
      </c>
      <c r="B121" s="5" t="s">
        <v>292</v>
      </c>
      <c r="C121" s="5" t="s">
        <v>25</v>
      </c>
      <c r="D121" s="28" t="s">
        <v>19</v>
      </c>
      <c r="E121" s="14"/>
      <c r="F121" s="15"/>
      <c r="G121" s="28" t="s">
        <v>19</v>
      </c>
      <c r="H121" s="17"/>
      <c r="I121" s="28" t="s">
        <v>19</v>
      </c>
      <c r="J121" s="28" t="s">
        <v>19</v>
      </c>
      <c r="K121" s="14"/>
      <c r="L121" s="15"/>
      <c r="M121" s="28" t="s">
        <v>19</v>
      </c>
      <c r="N121" s="17"/>
      <c r="O121" s="28" t="s">
        <v>19</v>
      </c>
      <c r="P121">
        <v>4</v>
      </c>
    </row>
    <row r="122" spans="1:16" x14ac:dyDescent="0.3">
      <c r="A122" s="27" t="s">
        <v>293</v>
      </c>
      <c r="B122" s="27" t="s">
        <v>294</v>
      </c>
      <c r="C122" s="27" t="s">
        <v>25</v>
      </c>
      <c r="D122" s="19"/>
      <c r="E122" s="28" t="s">
        <v>19</v>
      </c>
      <c r="F122" s="28" t="s">
        <v>19</v>
      </c>
      <c r="G122" s="23"/>
      <c r="H122" s="24"/>
      <c r="I122" s="25"/>
      <c r="J122" s="1"/>
      <c r="K122" s="28" t="s">
        <v>19</v>
      </c>
      <c r="L122" s="28" t="s">
        <v>19</v>
      </c>
      <c r="M122" s="23"/>
      <c r="N122" s="24"/>
      <c r="O122" s="25"/>
      <c r="P122" s="13">
        <v>4</v>
      </c>
    </row>
    <row r="123" spans="1:16" x14ac:dyDescent="0.3">
      <c r="A123" s="27" t="s">
        <v>295</v>
      </c>
      <c r="B123" s="27" t="s">
        <v>296</v>
      </c>
      <c r="C123" s="27" t="s">
        <v>25</v>
      </c>
      <c r="D123" s="19"/>
      <c r="E123" s="28" t="s">
        <v>19</v>
      </c>
      <c r="F123" s="22"/>
      <c r="G123" s="23"/>
      <c r="H123" s="28" t="s">
        <v>19</v>
      </c>
      <c r="I123" s="25"/>
      <c r="J123" s="1"/>
      <c r="K123" s="28" t="s">
        <v>19</v>
      </c>
      <c r="L123" s="22"/>
      <c r="M123" s="23"/>
      <c r="N123" s="28" t="s">
        <v>19</v>
      </c>
      <c r="O123" s="25"/>
      <c r="P123" s="13">
        <v>4</v>
      </c>
    </row>
    <row r="124" spans="1:16" x14ac:dyDescent="0.3">
      <c r="A124" s="5" t="s">
        <v>297</v>
      </c>
      <c r="B124" s="5" t="s">
        <v>298</v>
      </c>
      <c r="C124" s="5" t="s">
        <v>34</v>
      </c>
      <c r="D124" s="28" t="s">
        <v>19</v>
      </c>
      <c r="E124" s="14"/>
      <c r="F124" s="28" t="s">
        <v>19</v>
      </c>
      <c r="G124" s="16"/>
      <c r="H124" s="28" t="s">
        <v>19</v>
      </c>
      <c r="I124" s="18"/>
      <c r="J124" s="28" t="s">
        <v>19</v>
      </c>
      <c r="K124" s="14"/>
      <c r="L124" s="28" t="s">
        <v>19</v>
      </c>
      <c r="M124" s="16"/>
      <c r="N124" s="28" t="s">
        <v>19</v>
      </c>
      <c r="O124" s="18"/>
      <c r="P124">
        <v>6</v>
      </c>
    </row>
    <row r="125" spans="1:16" x14ac:dyDescent="0.3">
      <c r="A125" t="s">
        <v>299</v>
      </c>
      <c r="B125" t="s">
        <v>300</v>
      </c>
      <c r="C125" t="s">
        <v>18</v>
      </c>
      <c r="D125" s="19"/>
      <c r="E125" s="14"/>
      <c r="F125" s="28" t="s">
        <v>19</v>
      </c>
      <c r="G125" s="16"/>
      <c r="H125" s="17"/>
      <c r="I125" s="18"/>
      <c r="J125" s="1"/>
      <c r="K125" s="14"/>
      <c r="L125" s="15"/>
      <c r="M125" s="16"/>
      <c r="N125" s="17"/>
      <c r="O125" s="18"/>
      <c r="P125">
        <v>1</v>
      </c>
    </row>
    <row r="127" spans="1:16" x14ac:dyDescent="0.3">
      <c r="A127" t="s">
        <v>46</v>
      </c>
    </row>
    <row r="128" spans="1:16" x14ac:dyDescent="0.3">
      <c r="A128" t="s">
        <v>39</v>
      </c>
    </row>
    <row r="129" spans="1:1" x14ac:dyDescent="0.3">
      <c r="A129" t="s">
        <v>25</v>
      </c>
    </row>
    <row r="130" spans="1:1" x14ac:dyDescent="0.3">
      <c r="A130" t="s">
        <v>22</v>
      </c>
    </row>
    <row r="131" spans="1:1" x14ac:dyDescent="0.3">
      <c r="A131" t="s">
        <v>43</v>
      </c>
    </row>
    <row r="132" spans="1:1" x14ac:dyDescent="0.3">
      <c r="A132" t="s">
        <v>28</v>
      </c>
    </row>
    <row r="133" spans="1:1" x14ac:dyDescent="0.3">
      <c r="A133" t="s">
        <v>45</v>
      </c>
    </row>
    <row r="134" spans="1:1" x14ac:dyDescent="0.3">
      <c r="A134" t="s">
        <v>44</v>
      </c>
    </row>
    <row r="135" spans="1:1" x14ac:dyDescent="0.3">
      <c r="A135" t="s">
        <v>34</v>
      </c>
    </row>
    <row r="136" spans="1:1" x14ac:dyDescent="0.3">
      <c r="A136" t="s">
        <v>31</v>
      </c>
    </row>
    <row r="137" spans="1:1" x14ac:dyDescent="0.3">
      <c r="A137" t="s">
        <v>18</v>
      </c>
    </row>
    <row r="138" spans="1:1" x14ac:dyDescent="0.3">
      <c r="A138" t="s">
        <v>301</v>
      </c>
    </row>
  </sheetData>
  <mergeCells count="1">
    <mergeCell ref="AF25:AG25"/>
  </mergeCell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Ariyan Athwal</cp:lastModifiedBy>
  <cp:revision/>
  <dcterms:created xsi:type="dcterms:W3CDTF">2025-10-29T13:16:08Z</dcterms:created>
  <dcterms:modified xsi:type="dcterms:W3CDTF">2026-01-06T10:21:03Z</dcterms:modified>
  <cp:category/>
  <cp:contentStatus/>
</cp:coreProperties>
</file>